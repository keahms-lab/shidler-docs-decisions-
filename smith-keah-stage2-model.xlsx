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keahsmith/Desktop/"/>
    </mc:Choice>
  </mc:AlternateContent>
  <xr:revisionPtr revIDLastSave="0" documentId="8_{53044E0C-9852-5A47-B474-7D3BAE3B7A9D}" xr6:coauthVersionLast="47" xr6:coauthVersionMax="47" xr10:uidLastSave="{00000000-0000-0000-0000-000000000000}"/>
  <bookViews>
    <workbookView xWindow="0" yWindow="500" windowWidth="28800" windowHeight="16180" xr2:uid="{00000000-000D-0000-FFFF-FFFF00000000}"/>
  </bookViews>
  <sheets>
    <sheet name="Transaction Hedging (Receivable" sheetId="1" r:id="rId1"/>
    <sheet name="Sheet1" sheetId="3" r:id="rId2"/>
    <sheet name="Transaction Hedging (Payables)" sheetId="2" r:id="rId3"/>
  </sheets>
  <definedNames>
    <definedName name="call_price">'Transaction Hedging (Payables)'!$F$15</definedName>
    <definedName name="call_strike">'Transaction Hedging (Payables)'!$F$14</definedName>
    <definedName name="contract_notional_value_payable">'Transaction Hedging (Payables)'!$F$6</definedName>
    <definedName name="current_spot_price_payable">'Transaction Hedging (Payables)'!$F$7</definedName>
    <definedName name="for_GBPUSD">'Transaction Hedging (Receivable'!$F$12</definedName>
    <definedName name="forward_price_payable">'Transaction Hedging (Payables)'!$F$12</definedName>
    <definedName name="future_spot_price_payable">'Transaction Hedging (Payables)'!$C$35:$C$47</definedName>
    <definedName name="fv_put_outlay">'Transaction Hedging (Receivable'!$F$28</definedName>
    <definedName name="gbpusd_1y_scenario">'Transaction Hedging (Receivable'!$C$33:$C$45</definedName>
    <definedName name="hedge_no">'Transaction Hedging (Receivable'!$D$33:$D$45</definedName>
    <definedName name="named_range">'Transaction Hedging (Payables)'!$G$15</definedName>
    <definedName name="put_price">'Transaction Hedging (Receivable'!$F$15</definedName>
    <definedName name="rate_uk_1y_payable">'Transaction Hedging (Payables)'!$F$10</definedName>
    <definedName name="rate_us_1y_payable">'Transaction Hedging (Payables)'!$F$9</definedName>
    <definedName name="recievable">'Transaction Hedging (Receivable'!$F$6</definedName>
    <definedName name="x_put">'Transaction Hedging (Receivable'!$F$14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1" l="1"/>
  <c r="C41" i="2"/>
  <c r="F30" i="2"/>
  <c r="F29" i="2"/>
  <c r="F21" i="2"/>
  <c r="F22" i="2" s="1"/>
  <c r="F23" i="2" s="1"/>
  <c r="F24" i="2" s="1"/>
  <c r="F18" i="2"/>
  <c r="F14" i="2"/>
  <c r="D41" i="1"/>
  <c r="E41" i="1" s="1"/>
  <c r="C41" i="1"/>
  <c r="H40" i="1"/>
  <c r="C40" i="1"/>
  <c r="D40" i="1" s="1"/>
  <c r="E40" i="1" s="1"/>
  <c r="H39" i="1"/>
  <c r="D39" i="1"/>
  <c r="H38" i="1"/>
  <c r="C38" i="1"/>
  <c r="D38" i="1" s="1"/>
  <c r="E38" i="1" s="1"/>
  <c r="C37" i="1"/>
  <c r="G27" i="1"/>
  <c r="F27" i="1"/>
  <c r="F28" i="1" s="1"/>
  <c r="F21" i="1"/>
  <c r="F22" i="1" s="1"/>
  <c r="F23" i="1" s="1"/>
  <c r="F24" i="1" s="1"/>
  <c r="F18" i="1"/>
  <c r="F45" i="1" l="1"/>
  <c r="F44" i="1"/>
  <c r="F42" i="1"/>
  <c r="F40" i="1"/>
  <c r="I41" i="1"/>
  <c r="I39" i="1"/>
  <c r="F37" i="1"/>
  <c r="F35" i="1"/>
  <c r="F41" i="1"/>
  <c r="F39" i="1"/>
  <c r="F33" i="1"/>
  <c r="F43" i="1"/>
  <c r="F36" i="1"/>
  <c r="I40" i="1"/>
  <c r="F38" i="1"/>
  <c r="I38" i="1"/>
  <c r="F34" i="1"/>
  <c r="J37" i="1"/>
  <c r="J41" i="1"/>
  <c r="G41" i="1" s="1"/>
  <c r="L41" i="1" s="1"/>
  <c r="J39" i="1"/>
  <c r="G39" i="1" s="1"/>
  <c r="J36" i="1"/>
  <c r="J42" i="1"/>
  <c r="J40" i="1"/>
  <c r="G40" i="1" s="1"/>
  <c r="J38" i="1"/>
  <c r="G38" i="1" s="1"/>
  <c r="F25" i="2"/>
  <c r="F26" i="2" s="1"/>
  <c r="C42" i="2"/>
  <c r="C40" i="2"/>
  <c r="J40" i="2" s="1"/>
  <c r="H41" i="2"/>
  <c r="D41" i="2"/>
  <c r="H37" i="1"/>
  <c r="C36" i="1"/>
  <c r="H41" i="1"/>
  <c r="C42" i="1"/>
  <c r="D37" i="1"/>
  <c r="J41" i="2"/>
  <c r="E39" i="1"/>
  <c r="L38" i="1" l="1"/>
  <c r="D36" i="1"/>
  <c r="H36" i="1"/>
  <c r="C35" i="1"/>
  <c r="G41" i="2"/>
  <c r="E41" i="2"/>
  <c r="E37" i="1"/>
  <c r="G37" i="1"/>
  <c r="I37" i="1"/>
  <c r="D42" i="1"/>
  <c r="C43" i="1"/>
  <c r="H42" i="1"/>
  <c r="L39" i="1"/>
  <c r="K39" i="1"/>
  <c r="D40" i="2"/>
  <c r="H40" i="2"/>
  <c r="C39" i="2"/>
  <c r="D42" i="2"/>
  <c r="I42" i="2" s="1"/>
  <c r="H42" i="2"/>
  <c r="J42" i="2"/>
  <c r="C43" i="2"/>
  <c r="K38" i="1"/>
  <c r="L40" i="1"/>
  <c r="K40" i="1"/>
  <c r="F47" i="2"/>
  <c r="F46" i="2"/>
  <c r="F44" i="2"/>
  <c r="I41" i="2"/>
  <c r="F45" i="2"/>
  <c r="F41" i="2"/>
  <c r="F37" i="2"/>
  <c r="F43" i="2"/>
  <c r="F39" i="2"/>
  <c r="F35" i="2"/>
  <c r="F36" i="2"/>
  <c r="F40" i="2"/>
  <c r="F38" i="2"/>
  <c r="F42" i="2"/>
  <c r="K41" i="1"/>
  <c r="C44" i="2" l="1"/>
  <c r="H43" i="2"/>
  <c r="D43" i="2"/>
  <c r="J43" i="2"/>
  <c r="C44" i="1"/>
  <c r="H43" i="1"/>
  <c r="D43" i="1"/>
  <c r="J43" i="1"/>
  <c r="E42" i="1"/>
  <c r="G42" i="1"/>
  <c r="I42" i="1"/>
  <c r="E42" i="2"/>
  <c r="G42" i="2"/>
  <c r="C38" i="2"/>
  <c r="H39" i="2"/>
  <c r="D39" i="2"/>
  <c r="J39" i="2"/>
  <c r="E40" i="2"/>
  <c r="G40" i="2"/>
  <c r="L37" i="1"/>
  <c r="K37" i="1"/>
  <c r="L41" i="2"/>
  <c r="K41" i="2"/>
  <c r="C34" i="1"/>
  <c r="H35" i="1"/>
  <c r="D35" i="1"/>
  <c r="J35" i="1"/>
  <c r="I40" i="2"/>
  <c r="E36" i="1"/>
  <c r="G36" i="1"/>
  <c r="I36" i="1"/>
  <c r="L42" i="2" l="1"/>
  <c r="K42" i="2"/>
  <c r="L36" i="1"/>
  <c r="K36" i="1"/>
  <c r="L42" i="1"/>
  <c r="K42" i="1"/>
  <c r="K40" i="2"/>
  <c r="L40" i="2"/>
  <c r="D38" i="2"/>
  <c r="H38" i="2"/>
  <c r="C37" i="2"/>
  <c r="J38" i="2"/>
  <c r="G43" i="1"/>
  <c r="E43" i="1"/>
  <c r="I43" i="1"/>
  <c r="G35" i="1"/>
  <c r="E35" i="1"/>
  <c r="I35" i="1"/>
  <c r="D44" i="1"/>
  <c r="H44" i="1"/>
  <c r="C45" i="1"/>
  <c r="J44" i="1"/>
  <c r="E39" i="2"/>
  <c r="G39" i="2"/>
  <c r="I39" i="2"/>
  <c r="D34" i="1"/>
  <c r="H34" i="1"/>
  <c r="C33" i="1"/>
  <c r="J34" i="1"/>
  <c r="G43" i="2"/>
  <c r="E43" i="2"/>
  <c r="I43" i="2"/>
  <c r="D44" i="2"/>
  <c r="C45" i="2"/>
  <c r="H44" i="2"/>
  <c r="J44" i="2"/>
  <c r="L35" i="1" l="1"/>
  <c r="K35" i="1"/>
  <c r="E44" i="1"/>
  <c r="G44" i="1"/>
  <c r="I44" i="1"/>
  <c r="L43" i="1"/>
  <c r="K43" i="1"/>
  <c r="L43" i="2"/>
  <c r="K43" i="2"/>
  <c r="C36" i="2"/>
  <c r="H37" i="2"/>
  <c r="D37" i="2"/>
  <c r="J37" i="2"/>
  <c r="E38" i="2"/>
  <c r="G38" i="2"/>
  <c r="I38" i="2"/>
  <c r="H33" i="1"/>
  <c r="J33" i="1"/>
  <c r="G33" i="1" s="1"/>
  <c r="H45" i="2"/>
  <c r="C46" i="2"/>
  <c r="D45" i="2"/>
  <c r="J45" i="2"/>
  <c r="L39" i="2"/>
  <c r="K39" i="2"/>
  <c r="E44" i="2"/>
  <c r="G44" i="2"/>
  <c r="I44" i="2"/>
  <c r="E34" i="1"/>
  <c r="G34" i="1"/>
  <c r="I34" i="1"/>
  <c r="H45" i="1"/>
  <c r="D45" i="1"/>
  <c r="J45" i="1"/>
  <c r="E33" i="1" l="1"/>
  <c r="I33" i="1"/>
  <c r="L34" i="1"/>
  <c r="K34" i="1"/>
  <c r="L44" i="2"/>
  <c r="K44" i="2"/>
  <c r="L38" i="2"/>
  <c r="K38" i="2"/>
  <c r="L44" i="1"/>
  <c r="K44" i="1"/>
  <c r="G45" i="1"/>
  <c r="F29" i="1" s="1"/>
  <c r="E45" i="1"/>
  <c r="I45" i="1"/>
  <c r="G37" i="2"/>
  <c r="E37" i="2"/>
  <c r="I37" i="2"/>
  <c r="D36" i="2"/>
  <c r="H36" i="2"/>
  <c r="C35" i="2"/>
  <c r="J36" i="2"/>
  <c r="G45" i="2"/>
  <c r="E45" i="2"/>
  <c r="I45" i="2"/>
  <c r="C47" i="2"/>
  <c r="H46" i="2"/>
  <c r="D46" i="2"/>
  <c r="J46" i="2"/>
  <c r="E36" i="2" l="1"/>
  <c r="G36" i="2"/>
  <c r="I36" i="2"/>
  <c r="G46" i="2"/>
  <c r="E46" i="2"/>
  <c r="I46" i="2"/>
  <c r="H35" i="2"/>
  <c r="D35" i="2"/>
  <c r="J35" i="2"/>
  <c r="H47" i="2"/>
  <c r="D47" i="2"/>
  <c r="J47" i="2"/>
  <c r="L37" i="2"/>
  <c r="K37" i="2"/>
  <c r="K45" i="1"/>
  <c r="L45" i="1"/>
  <c r="L45" i="2"/>
  <c r="K45" i="2"/>
  <c r="L33" i="1"/>
  <c r="K33" i="1"/>
  <c r="G47" i="2" l="1"/>
  <c r="E47" i="2"/>
  <c r="I47" i="2"/>
  <c r="E35" i="2"/>
  <c r="G35" i="2"/>
  <c r="I35" i="2"/>
  <c r="L46" i="2"/>
  <c r="K46" i="2"/>
  <c r="K36" i="2"/>
  <c r="L36" i="2"/>
  <c r="L35" i="2" l="1"/>
  <c r="K35" i="2"/>
  <c r="F31" i="2"/>
  <c r="L47" i="2"/>
  <c r="K47" i="2"/>
</calcChain>
</file>

<file path=xl/sharedStrings.xml><?xml version="1.0" encoding="utf-8"?>
<sst xmlns="http://schemas.openxmlformats.org/spreadsheetml/2006/main" count="112" uniqueCount="72">
  <si>
    <r>
      <rPr>
        <b/>
        <sz val="18"/>
        <color theme="1"/>
        <rFont val="Arial"/>
        <family val="2"/>
      </rPr>
      <t xml:space="preserve">Hedging Foreign Currency </t>
    </r>
    <r>
      <rPr>
        <b/>
        <u/>
        <sz val="18"/>
        <color theme="1"/>
        <rFont val="Arial"/>
        <family val="2"/>
      </rPr>
      <t>Receivables</t>
    </r>
  </si>
  <si>
    <r>
      <rPr>
        <sz val="18"/>
        <color theme="1"/>
        <rFont val="Arial"/>
        <family val="2"/>
      </rPr>
      <t xml:space="preserve">Suppose Boeing Corporation exported a landing gear of Boeing 737 aircraft to British Airways and billed £10 million </t>
    </r>
    <r>
      <rPr>
        <b/>
        <sz val="18"/>
        <color theme="1"/>
        <rFont val="Arial"/>
        <family val="2"/>
      </rPr>
      <t xml:space="preserve">receivable in one year.
</t>
    </r>
  </si>
  <si>
    <t>Given</t>
  </si>
  <si>
    <t xml:space="preserve">Variables </t>
  </si>
  <si>
    <t>Key</t>
  </si>
  <si>
    <t>1-Year Receivable</t>
  </si>
  <si>
    <t>Editable</t>
  </si>
  <si>
    <t>Current GBP/USD Spot Exchange Rate</t>
  </si>
  <si>
    <t>Outcome</t>
  </si>
  <si>
    <t>Money Market</t>
  </si>
  <si>
    <t>Formulas</t>
  </si>
  <si>
    <t>U.S. 1-Year Interest Rate (domestic)</t>
  </si>
  <si>
    <t>U.K. 1-Year Interest Rate (foreign)</t>
  </si>
  <si>
    <t>&lt;--what if 8% TIME PERMITTING</t>
  </si>
  <si>
    <t>Forwards</t>
  </si>
  <si>
    <t>GBP/USD 1-Year Forward Exchange Rate</t>
  </si>
  <si>
    <t>Options</t>
  </si>
  <si>
    <t>GBP/USD Put Strike Price</t>
  </si>
  <si>
    <t>GBP/USD Put Price</t>
  </si>
  <si>
    <t>1. Forward Hedge</t>
  </si>
  <si>
    <r>
      <rPr>
        <sz val="18"/>
        <color theme="1"/>
        <rFont val="Arial"/>
        <family val="2"/>
      </rPr>
      <t xml:space="preserve">[a] </t>
    </r>
    <r>
      <rPr>
        <b/>
        <sz val="18"/>
        <color theme="1"/>
        <rFont val="Arial"/>
        <family val="2"/>
      </rPr>
      <t>Sell</t>
    </r>
    <r>
      <rPr>
        <sz val="18"/>
        <color theme="1"/>
        <rFont val="Arial"/>
        <family val="2"/>
      </rPr>
      <t xml:space="preserve"> GBP/USD 1-Year Forward</t>
    </r>
  </si>
  <si>
    <t xml:space="preserve">&lt;-- LOCKED IN: in one year we will have this amount </t>
  </si>
  <si>
    <t>2. Money Market Hedge</t>
  </si>
  <si>
    <t>[a] Borrow the discounted present value of the foreign receivable</t>
  </si>
  <si>
    <t>[b] Convert [a] into domestic at the current spot exchange</t>
  </si>
  <si>
    <t>[c] Invest [b] at the prevailing domestic interest rate</t>
  </si>
  <si>
    <t>3. Option Hedge</t>
  </si>
  <si>
    <r>
      <rPr>
        <sz val="18"/>
        <color theme="1"/>
        <rFont val="Arial"/>
        <family val="2"/>
      </rPr>
      <t xml:space="preserve">[a] Buy </t>
    </r>
    <r>
      <rPr>
        <b/>
        <sz val="18"/>
        <color theme="1"/>
        <rFont val="Arial"/>
        <family val="2"/>
      </rPr>
      <t>puts</t>
    </r>
  </si>
  <si>
    <t>[b] Determine 1-year future value equivalent of [a]</t>
  </si>
  <si>
    <t>&lt;-- LOWEST: variable amount depends on where GBP/USD spot ends up in 1 year</t>
  </si>
  <si>
    <t>GBP/USD
Spot Exchange Rate
(scenarios in 1 year)</t>
  </si>
  <si>
    <t>In one year, we receive</t>
  </si>
  <si>
    <t>Hedge Profit (Loss) vs. No Hedge</t>
  </si>
  <si>
    <t>Winner</t>
  </si>
  <si>
    <t>0. No Hedge</t>
  </si>
  <si>
    <t>1. Forward Hedge
(F - St) x Notional Value</t>
  </si>
  <si>
    <t>of Hedge / No Hedge</t>
  </si>
  <si>
    <t>of Hedges</t>
  </si>
  <si>
    <t>Future Spot Price</t>
  </si>
  <si>
    <t>&lt;-- Worse (GBP depreciates)</t>
  </si>
  <si>
    <t>&lt;-- baseline</t>
  </si>
  <si>
    <t>&lt;-- Better (GBP appreciates)</t>
  </si>
  <si>
    <r>
      <rPr>
        <b/>
        <sz val="18"/>
        <color theme="1"/>
        <rFont val="Arial"/>
        <family val="2"/>
      </rPr>
      <t xml:space="preserve">Hedging Foreign Currency </t>
    </r>
    <r>
      <rPr>
        <b/>
        <u/>
        <sz val="18"/>
        <color theme="1"/>
        <rFont val="Arial"/>
        <family val="2"/>
      </rPr>
      <t>Payables</t>
    </r>
  </si>
  <si>
    <r>
      <rPr>
        <sz val="18"/>
        <color theme="1"/>
        <rFont val="Arial"/>
        <family val="2"/>
      </rPr>
      <t xml:space="preserve">Suppose Boeing imported a Rolls-Royce jet engine for </t>
    </r>
    <r>
      <rPr>
        <b/>
        <sz val="18"/>
        <color theme="1"/>
        <rFont val="Arial"/>
        <family val="2"/>
      </rPr>
      <t xml:space="preserve">£5 million payable in one year
</t>
    </r>
  </si>
  <si>
    <t>GBP/USD Call Strike Price</t>
  </si>
  <si>
    <t>GBP/USD Call Price</t>
  </si>
  <si>
    <r>
      <rPr>
        <sz val="18"/>
        <color theme="1"/>
        <rFont val="Arial"/>
        <family val="2"/>
      </rPr>
      <t xml:space="preserve">[a] </t>
    </r>
    <r>
      <rPr>
        <b/>
        <sz val="18"/>
        <color theme="1"/>
        <rFont val="Arial"/>
        <family val="2"/>
      </rPr>
      <t>Buy</t>
    </r>
    <r>
      <rPr>
        <sz val="18"/>
        <color theme="1"/>
        <rFont val="Arial"/>
        <family val="2"/>
      </rPr>
      <t xml:space="preserve"> GBP/USD 1-Year Forward</t>
    </r>
  </si>
  <si>
    <t>[a] Determine present value of the foreign payable</t>
  </si>
  <si>
    <t>[b] Calculate [a] into domestic at the current spot exchange &amp; Borrow</t>
  </si>
  <si>
    <t>[c] Convert [b] into foreign currency at the current spot exchange</t>
  </si>
  <si>
    <t>[d] Recieve in 1-year and make payment</t>
  </si>
  <si>
    <t>[e] Future Value of expense at the prevailing domestic interest rate</t>
  </si>
  <si>
    <r>
      <rPr>
        <sz val="18"/>
        <color theme="1"/>
        <rFont val="Arial"/>
        <family val="2"/>
      </rPr>
      <t xml:space="preserve">[a] Buy </t>
    </r>
    <r>
      <rPr>
        <b/>
        <sz val="18"/>
        <color theme="1"/>
        <rFont val="Arial"/>
        <family val="2"/>
      </rPr>
      <t>call</t>
    </r>
  </si>
  <si>
    <t>&lt;-- HIGHEST: variable amount depends on where GBP/USD spot ends up in 1 year</t>
  </si>
  <si>
    <t>In one year, we pay</t>
  </si>
  <si>
    <t>&lt;-- Better (GBP depreciates)</t>
  </si>
  <si>
    <t>&lt;-- Worse (GBP appreciates)</t>
  </si>
  <si>
    <t>Notes and Assumptions</t>
  </si>
  <si>
    <t>1. Interest Rates</t>
  </si>
  <si>
    <t>2. Covered Interest Parity Holds</t>
  </si>
  <si>
    <t>3. No Credit Risk</t>
  </si>
  <si>
    <t>4. Annual Compounding</t>
  </si>
  <si>
    <t>U.S. = 5%</t>
  </si>
  <si>
    <t>UK = 3%</t>
  </si>
  <si>
    <t xml:space="preserve">Interest rates are based on macro benchmarks rather than the exact market quotes. </t>
  </si>
  <si>
    <t>*firms use market-specific borrowing and lending rates</t>
  </si>
  <si>
    <t>*focusing on hedge mechanics rather than sourcing percise rates</t>
  </si>
  <si>
    <t>8 model assumes forward rates are consistent with interest rate differentials</t>
  </si>
  <si>
    <t>Forward hedging = Money Market Hedge</t>
  </si>
  <si>
    <t>* interest rates are applied once during the 1 year horizon, with no continuous compounding</t>
  </si>
  <si>
    <t>* model assumes the firm can borrow and lend freely</t>
  </si>
  <si>
    <t>* assuming arbitrage eliminates pricing gaps between strategies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</si>
</sst>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£]#,##0"/>
    <numFmt numFmtId="165" formatCode="&quot;$&quot;#,##0.00"/>
    <numFmt numFmtId="166" formatCode="&quot;$&quot;#,##0"/>
  </numFmts>
  <fonts count="15" x14ac:knownFonts="1">
    <font>
      <sz val="10"/>
      <color rgb="FF000000"/>
      <name val="Arial"/>
      <scheme val="minor"/>
    </font>
    <font>
      <sz val="18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sz val="10"/>
      <name val="Arial"/>
      <family val="2"/>
    </font>
    <font>
      <b/>
      <sz val="18"/>
      <color rgb="FF000000"/>
      <name val="Inconsolata"/>
    </font>
    <font>
      <u/>
      <sz val="18"/>
      <color theme="1"/>
      <name val="Arial"/>
      <family val="2"/>
      <scheme val="minor"/>
    </font>
    <font>
      <b/>
      <sz val="18"/>
      <color rgb="FF0000FF"/>
      <name val="Arial"/>
      <family val="2"/>
      <scheme val="minor"/>
    </font>
    <font>
      <sz val="18"/>
      <color theme="1"/>
      <name val="Arial"/>
      <family val="2"/>
    </font>
    <font>
      <sz val="18"/>
      <color rgb="FF0000FF"/>
      <name val="Arial"/>
      <family val="2"/>
      <scheme val="minor"/>
    </font>
    <font>
      <sz val="22"/>
      <color theme="1"/>
      <name val="Arial"/>
      <family val="2"/>
      <scheme val="minor"/>
    </font>
    <font>
      <b/>
      <sz val="18"/>
      <color theme="1"/>
      <name val="Arial"/>
      <family val="2"/>
    </font>
    <font>
      <b/>
      <u/>
      <sz val="18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8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6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FFFFFF"/>
      </bottom>
      <diagonal/>
    </border>
    <border>
      <left/>
      <right/>
      <top style="thick">
        <color rgb="FF000000"/>
      </top>
      <bottom style="thin">
        <color rgb="FFFFFFFF"/>
      </bottom>
      <diagonal/>
    </border>
    <border>
      <left/>
      <right style="thick">
        <color rgb="FF000000"/>
      </right>
      <top style="thick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ck">
        <color rgb="FF000000"/>
      </right>
      <top style="thin">
        <color rgb="FFFFFFFF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ck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ck">
        <color rgb="FF000000"/>
      </bottom>
      <diagonal/>
    </border>
    <border>
      <left style="thin">
        <color rgb="FFFFFFFF"/>
      </left>
      <right style="thick">
        <color rgb="FF000000"/>
      </right>
      <top style="thin">
        <color rgb="FFFFFFFF"/>
      </top>
      <bottom style="thick">
        <color rgb="FF000000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dotted">
        <color rgb="FF000000"/>
      </left>
      <right/>
      <top style="dotted">
        <color rgb="FF000000"/>
      </top>
      <bottom style="thin">
        <color rgb="FFFFFFFF"/>
      </bottom>
      <diagonal/>
    </border>
    <border>
      <left/>
      <right/>
      <top style="dotted">
        <color rgb="FF000000"/>
      </top>
      <bottom style="thin">
        <color rgb="FFFFFFFF"/>
      </bottom>
      <diagonal/>
    </border>
    <border>
      <left/>
      <right style="dotted">
        <color rgb="FF000000"/>
      </right>
      <top style="dotted">
        <color rgb="FF000000"/>
      </top>
      <bottom style="thin">
        <color rgb="FFFFFFFF"/>
      </bottom>
      <diagonal/>
    </border>
    <border>
      <left style="dotted">
        <color rgb="FF000000"/>
      </left>
      <right/>
      <top style="thin">
        <color rgb="FFFFFFFF"/>
      </top>
      <bottom style="dotted">
        <color rgb="FF000000"/>
      </bottom>
      <diagonal/>
    </border>
    <border>
      <left/>
      <right/>
      <top style="thin">
        <color rgb="FFFFFFFF"/>
      </top>
      <bottom style="dotted">
        <color rgb="FF000000"/>
      </bottom>
      <diagonal/>
    </border>
    <border>
      <left/>
      <right style="thin">
        <color rgb="FFFFFFFF"/>
      </right>
      <top style="thin">
        <color rgb="FFFFFFFF"/>
      </top>
      <bottom style="dotted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dotted">
        <color rgb="FF000000"/>
      </bottom>
      <diagonal/>
    </border>
    <border>
      <left style="thin">
        <color rgb="FFFFFFFF"/>
      </left>
      <right/>
      <top style="thin">
        <color rgb="FFFFFFFF"/>
      </top>
      <bottom style="dotted">
        <color rgb="FF000000"/>
      </bottom>
      <diagonal/>
    </border>
    <border>
      <left/>
      <right style="dotted">
        <color rgb="FF000000"/>
      </right>
      <top style="thin">
        <color rgb="FFFFFFFF"/>
      </top>
      <bottom style="dotted">
        <color rgb="FF000000"/>
      </bottom>
      <diagonal/>
    </border>
    <border>
      <left style="dotted">
        <color rgb="FF000000"/>
      </left>
      <right/>
      <top style="thin">
        <color rgb="FFFFFFFF"/>
      </top>
      <bottom style="thin">
        <color rgb="FFFFFFFF"/>
      </bottom>
      <diagonal/>
    </border>
    <border>
      <left/>
      <right style="dotted">
        <color rgb="FF000000"/>
      </right>
      <top style="thin">
        <color rgb="FFFFFFFF"/>
      </top>
      <bottom style="thin">
        <color rgb="FFFFFFFF"/>
      </bottom>
      <diagonal/>
    </border>
    <border>
      <left style="dotted">
        <color rgb="FF000000"/>
      </left>
      <right style="thin">
        <color rgb="FFFFFFFF"/>
      </right>
      <top style="thin">
        <color rgb="FFFFFFFF"/>
      </top>
      <bottom style="dotted">
        <color rgb="FF000000"/>
      </bottom>
      <diagonal/>
    </border>
    <border>
      <left style="thin">
        <color rgb="FFFFFFFF"/>
      </left>
      <right style="dotted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000000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FFFFFF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FFFFFF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 style="medium">
        <color rgb="FF000000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FFFFFF"/>
      </left>
      <right style="medium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medium">
        <color rgb="FF000000"/>
      </left>
      <right/>
      <top style="thin">
        <color rgb="FFFFFFFF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FFFFFF"/>
      </right>
      <top style="thin">
        <color rgb="FFFFFFFF"/>
      </top>
      <bottom style="medium">
        <color rgb="FF000000"/>
      </bottom>
      <diagonal/>
    </border>
    <border>
      <left style="thin">
        <color rgb="FFFFFFFF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thin">
        <color rgb="FF000000"/>
      </left>
      <right style="thin">
        <color rgb="FFFFFFFF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medium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medium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medium">
        <color rgb="FF000000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1" fillId="0" borderId="0" xfId="0" applyFont="1" applyAlignment="1">
      <alignment vertical="top"/>
    </xf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2" fillId="2" borderId="8" xfId="0" applyFont="1" applyFill="1" applyBorder="1" applyAlignment="1">
      <alignment horizontal="center" vertical="top"/>
    </xf>
    <xf numFmtId="0" fontId="1" fillId="0" borderId="3" xfId="0" applyFont="1" applyBorder="1" applyAlignment="1">
      <alignment vertical="top"/>
    </xf>
    <xf numFmtId="0" fontId="2" fillId="0" borderId="9" xfId="0" applyFont="1" applyBorder="1" applyAlignment="1">
      <alignment horizontal="center"/>
    </xf>
    <xf numFmtId="0" fontId="1" fillId="0" borderId="4" xfId="0" applyFont="1" applyBorder="1" applyAlignment="1">
      <alignment vertical="top"/>
    </xf>
    <xf numFmtId="0" fontId="1" fillId="0" borderId="10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164" fontId="1" fillId="3" borderId="11" xfId="0" applyNumberFormat="1" applyFont="1" applyFill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0" fontId="4" fillId="3" borderId="12" xfId="0" applyFont="1" applyFill="1" applyBorder="1"/>
    <xf numFmtId="164" fontId="1" fillId="0" borderId="4" xfId="0" applyNumberFormat="1" applyFont="1" applyBorder="1" applyAlignment="1">
      <alignment vertical="top"/>
    </xf>
    <xf numFmtId="165" fontId="1" fillId="0" borderId="1" xfId="0" applyNumberFormat="1" applyFont="1" applyBorder="1" applyAlignment="1">
      <alignment vertical="top"/>
    </xf>
    <xf numFmtId="165" fontId="1" fillId="3" borderId="11" xfId="0" applyNumberFormat="1" applyFont="1" applyFill="1" applyBorder="1" applyAlignment="1">
      <alignment vertical="top"/>
    </xf>
    <xf numFmtId="166" fontId="1" fillId="0" borderId="3" xfId="0" applyNumberFormat="1" applyFont="1" applyBorder="1" applyAlignment="1">
      <alignment vertical="top"/>
    </xf>
    <xf numFmtId="0" fontId="4" fillId="4" borderId="12" xfId="0" applyFont="1" applyFill="1" applyBorder="1"/>
    <xf numFmtId="0" fontId="5" fillId="0" borderId="10" xfId="0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0" fontId="1" fillId="5" borderId="11" xfId="0" applyNumberFormat="1" applyFont="1" applyFill="1" applyBorder="1" applyAlignment="1">
      <alignment vertical="top"/>
    </xf>
    <xf numFmtId="164" fontId="6" fillId="0" borderId="13" xfId="0" applyNumberFormat="1" applyFont="1" applyBorder="1" applyAlignment="1">
      <alignment vertical="top"/>
    </xf>
    <xf numFmtId="10" fontId="1" fillId="3" borderId="11" xfId="0" applyNumberFormat="1" applyFont="1" applyFill="1" applyBorder="1" applyAlignment="1">
      <alignment vertical="top"/>
    </xf>
    <xf numFmtId="0" fontId="7" fillId="0" borderId="14" xfId="0" applyFont="1" applyBorder="1" applyAlignment="1">
      <alignment vertical="top"/>
    </xf>
    <xf numFmtId="165" fontId="1" fillId="5" borderId="11" xfId="0" applyNumberFormat="1" applyFont="1" applyFill="1" applyBorder="1" applyAlignment="1">
      <alignment vertical="top"/>
    </xf>
    <xf numFmtId="0" fontId="1" fillId="5" borderId="11" xfId="0" applyFont="1" applyFill="1" applyBorder="1" applyAlignment="1">
      <alignment vertical="top"/>
    </xf>
    <xf numFmtId="0" fontId="1" fillId="0" borderId="10" xfId="0" applyFont="1" applyBorder="1"/>
    <xf numFmtId="165" fontId="1" fillId="0" borderId="1" xfId="0" applyNumberFormat="1" applyFont="1" applyBorder="1"/>
    <xf numFmtId="165" fontId="1" fillId="3" borderId="11" xfId="0" applyNumberFormat="1" applyFont="1" applyFill="1" applyBorder="1"/>
    <xf numFmtId="0" fontId="1" fillId="0" borderId="15" xfId="0" applyFont="1" applyBorder="1" applyAlignment="1">
      <alignment vertical="top"/>
    </xf>
    <xf numFmtId="165" fontId="1" fillId="0" borderId="16" xfId="0" applyNumberFormat="1" applyFont="1" applyBorder="1" applyAlignment="1">
      <alignment vertical="top"/>
    </xf>
    <xf numFmtId="165" fontId="1" fillId="3" borderId="17" xfId="0" applyNumberFormat="1" applyFont="1" applyFill="1" applyBorder="1" applyAlignment="1">
      <alignment vertical="top"/>
    </xf>
    <xf numFmtId="0" fontId="1" fillId="0" borderId="1" xfId="0" applyFont="1" applyBorder="1"/>
    <xf numFmtId="0" fontId="1" fillId="0" borderId="18" xfId="0" applyFont="1" applyBorder="1" applyAlignment="1">
      <alignment vertical="top"/>
    </xf>
    <xf numFmtId="166" fontId="1" fillId="0" borderId="5" xfId="0" applyNumberFormat="1" applyFont="1" applyBorder="1" applyAlignment="1">
      <alignment vertical="top"/>
    </xf>
    <xf numFmtId="0" fontId="1" fillId="0" borderId="5" xfId="0" applyFont="1" applyBorder="1"/>
    <xf numFmtId="166" fontId="6" fillId="4" borderId="25" xfId="0" applyNumberFormat="1" applyFont="1" applyFill="1" applyBorder="1" applyAlignment="1">
      <alignment vertical="top"/>
    </xf>
    <xf numFmtId="166" fontId="1" fillId="0" borderId="18" xfId="0" applyNumberFormat="1" applyFont="1" applyBorder="1" applyAlignment="1">
      <alignment vertical="top"/>
    </xf>
    <xf numFmtId="164" fontId="8" fillId="0" borderId="1" xfId="0" applyNumberFormat="1" applyFont="1" applyBorder="1" applyAlignment="1">
      <alignment vertical="top"/>
    </xf>
    <xf numFmtId="166" fontId="8" fillId="0" borderId="1" xfId="0" applyNumberFormat="1" applyFont="1" applyBorder="1" applyAlignment="1">
      <alignment vertical="top"/>
    </xf>
    <xf numFmtId="0" fontId="1" fillId="0" borderId="30" xfId="0" applyFont="1" applyBorder="1" applyAlignment="1">
      <alignment vertical="top"/>
    </xf>
    <xf numFmtId="0" fontId="2" fillId="5" borderId="25" xfId="0" applyFont="1" applyFill="1" applyBorder="1" applyAlignment="1">
      <alignment vertical="top"/>
    </xf>
    <xf numFmtId="0" fontId="1" fillId="0" borderId="31" xfId="0" applyFont="1" applyBorder="1" applyAlignment="1">
      <alignment vertical="top"/>
    </xf>
    <xf numFmtId="0" fontId="1" fillId="0" borderId="25" xfId="0" applyFont="1" applyBorder="1" applyAlignment="1">
      <alignment vertical="top"/>
    </xf>
    <xf numFmtId="166" fontId="6" fillId="4" borderId="25" xfId="0" applyNumberFormat="1" applyFont="1" applyFill="1" applyBorder="1" applyAlignment="1">
      <alignment horizontal="right" vertical="top"/>
    </xf>
    <xf numFmtId="0" fontId="1" fillId="0" borderId="32" xfId="0" applyFont="1" applyBorder="1" applyAlignment="1">
      <alignment vertical="top"/>
    </xf>
    <xf numFmtId="0" fontId="2" fillId="0" borderId="38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166" fontId="2" fillId="0" borderId="39" xfId="0" applyNumberFormat="1" applyFont="1" applyBorder="1" applyAlignment="1">
      <alignment horizontal="center" vertical="top"/>
    </xf>
    <xf numFmtId="166" fontId="2" fillId="6" borderId="38" xfId="0" applyNumberFormat="1" applyFont="1" applyFill="1" applyBorder="1" applyAlignment="1">
      <alignment horizontal="center" vertical="top"/>
    </xf>
    <xf numFmtId="0" fontId="2" fillId="6" borderId="0" xfId="0" applyFont="1" applyFill="1" applyAlignment="1">
      <alignment horizontal="center" vertical="top"/>
    </xf>
    <xf numFmtId="166" fontId="2" fillId="6" borderId="39" xfId="0" applyNumberFormat="1" applyFont="1" applyFill="1" applyBorder="1" applyAlignment="1">
      <alignment horizontal="center" vertical="top"/>
    </xf>
    <xf numFmtId="0" fontId="2" fillId="0" borderId="39" xfId="0" applyFont="1" applyBorder="1" applyAlignment="1">
      <alignment horizontal="center" vertical="top"/>
    </xf>
    <xf numFmtId="0" fontId="2" fillId="0" borderId="0" xfId="0" applyFont="1" applyAlignment="1">
      <alignment horizontal="center" vertical="center" textRotation="90"/>
    </xf>
    <xf numFmtId="165" fontId="1" fillId="2" borderId="41" xfId="0" applyNumberFormat="1" applyFont="1" applyFill="1" applyBorder="1" applyAlignment="1">
      <alignment vertical="top"/>
    </xf>
    <xf numFmtId="166" fontId="8" fillId="0" borderId="42" xfId="0" applyNumberFormat="1" applyFont="1" applyBorder="1" applyAlignment="1">
      <alignment vertical="top"/>
    </xf>
    <xf numFmtId="166" fontId="8" fillId="0" borderId="43" xfId="0" applyNumberFormat="1" applyFont="1" applyBorder="1" applyAlignment="1">
      <alignment vertical="top"/>
    </xf>
    <xf numFmtId="166" fontId="8" fillId="0" borderId="43" xfId="0" applyNumberFormat="1" applyFont="1" applyBorder="1"/>
    <xf numFmtId="166" fontId="8" fillId="0" borderId="44" xfId="0" applyNumberFormat="1" applyFont="1" applyBorder="1"/>
    <xf numFmtId="166" fontId="8" fillId="6" borderId="42" xfId="0" applyNumberFormat="1" applyFont="1" applyFill="1" applyBorder="1" applyAlignment="1">
      <alignment vertical="top"/>
    </xf>
    <xf numFmtId="166" fontId="8" fillId="6" borderId="43" xfId="0" applyNumberFormat="1" applyFont="1" applyFill="1" applyBorder="1" applyAlignment="1">
      <alignment vertical="top"/>
    </xf>
    <xf numFmtId="166" fontId="8" fillId="6" borderId="44" xfId="0" applyNumberFormat="1" applyFont="1" applyFill="1" applyBorder="1" applyAlignment="1">
      <alignment vertical="top"/>
    </xf>
    <xf numFmtId="0" fontId="8" fillId="0" borderId="45" xfId="0" applyFont="1" applyBorder="1" applyAlignment="1">
      <alignment horizontal="center" vertical="top"/>
    </xf>
    <xf numFmtId="0" fontId="8" fillId="0" borderId="46" xfId="0" applyFont="1" applyBorder="1" applyAlignment="1">
      <alignment horizontal="center" vertical="top"/>
    </xf>
    <xf numFmtId="165" fontId="1" fillId="2" borderId="48" xfId="0" applyNumberFormat="1" applyFont="1" applyFill="1" applyBorder="1" applyAlignment="1">
      <alignment vertical="top"/>
    </xf>
    <xf numFmtId="166" fontId="8" fillId="0" borderId="49" xfId="0" applyNumberFormat="1" applyFont="1" applyBorder="1" applyAlignment="1">
      <alignment vertical="top"/>
    </xf>
    <xf numFmtId="166" fontId="8" fillId="0" borderId="0" xfId="0" applyNumberFormat="1" applyFont="1" applyAlignment="1">
      <alignment vertical="top"/>
    </xf>
    <xf numFmtId="166" fontId="8" fillId="0" borderId="0" xfId="0" applyNumberFormat="1" applyFont="1"/>
    <xf numFmtId="166" fontId="8" fillId="0" borderId="50" xfId="0" applyNumberFormat="1" applyFont="1" applyBorder="1"/>
    <xf numFmtId="166" fontId="8" fillId="6" borderId="49" xfId="0" applyNumberFormat="1" applyFont="1" applyFill="1" applyBorder="1" applyAlignment="1">
      <alignment vertical="top"/>
    </xf>
    <xf numFmtId="166" fontId="8" fillId="6" borderId="0" xfId="0" applyNumberFormat="1" applyFont="1" applyFill="1" applyAlignment="1">
      <alignment vertical="top"/>
    </xf>
    <xf numFmtId="0" fontId="8" fillId="0" borderId="4" xfId="0" applyFont="1" applyBorder="1" applyAlignment="1">
      <alignment horizontal="center" vertical="top"/>
    </xf>
    <xf numFmtId="0" fontId="8" fillId="0" borderId="51" xfId="0" applyFont="1" applyBorder="1" applyAlignment="1">
      <alignment horizontal="center" vertical="top"/>
    </xf>
    <xf numFmtId="0" fontId="9" fillId="0" borderId="4" xfId="0" applyFont="1" applyBorder="1" applyAlignment="1">
      <alignment vertical="top"/>
    </xf>
    <xf numFmtId="166" fontId="8" fillId="0" borderId="51" xfId="0" applyNumberFormat="1" applyFont="1" applyBorder="1" applyAlignment="1">
      <alignment horizontal="center" vertical="top"/>
    </xf>
    <xf numFmtId="165" fontId="1" fillId="2" borderId="53" xfId="0" applyNumberFormat="1" applyFont="1" applyFill="1" applyBorder="1" applyAlignment="1">
      <alignment vertical="top"/>
    </xf>
    <xf numFmtId="166" fontId="8" fillId="0" borderId="54" xfId="0" applyNumberFormat="1" applyFont="1" applyBorder="1" applyAlignment="1">
      <alignment vertical="top"/>
    </xf>
    <xf numFmtId="166" fontId="8" fillId="0" borderId="55" xfId="0" applyNumberFormat="1" applyFont="1" applyBorder="1" applyAlignment="1">
      <alignment vertical="top"/>
    </xf>
    <xf numFmtId="166" fontId="8" fillId="0" borderId="55" xfId="0" applyNumberFormat="1" applyFont="1" applyBorder="1"/>
    <xf numFmtId="166" fontId="8" fillId="0" borderId="56" xfId="0" applyNumberFormat="1" applyFont="1" applyBorder="1"/>
    <xf numFmtId="166" fontId="8" fillId="6" borderId="54" xfId="0" applyNumberFormat="1" applyFont="1" applyFill="1" applyBorder="1" applyAlignment="1">
      <alignment vertical="top"/>
    </xf>
    <xf numFmtId="166" fontId="8" fillId="6" borderId="55" xfId="0" applyNumberFormat="1" applyFont="1" applyFill="1" applyBorder="1" applyAlignment="1">
      <alignment vertical="top"/>
    </xf>
    <xf numFmtId="0" fontId="8" fillId="0" borderId="57" xfId="0" applyFont="1" applyBorder="1" applyAlignment="1">
      <alignment horizontal="center" vertical="top"/>
    </xf>
    <xf numFmtId="166" fontId="8" fillId="0" borderId="58" xfId="0" applyNumberFormat="1" applyFont="1" applyBorder="1" applyAlignment="1">
      <alignment horizontal="center" vertical="top"/>
    </xf>
    <xf numFmtId="166" fontId="1" fillId="0" borderId="32" xfId="0" applyNumberFormat="1" applyFont="1" applyBorder="1" applyAlignment="1">
      <alignment vertical="top"/>
    </xf>
    <xf numFmtId="166" fontId="8" fillId="0" borderId="59" xfId="0" applyNumberFormat="1" applyFont="1" applyBorder="1" applyAlignment="1">
      <alignment vertical="top"/>
    </xf>
    <xf numFmtId="166" fontId="8" fillId="0" borderId="60" xfId="0" applyNumberFormat="1" applyFont="1" applyBorder="1" applyAlignment="1">
      <alignment vertical="top"/>
    </xf>
    <xf numFmtId="166" fontId="8" fillId="0" borderId="60" xfId="0" applyNumberFormat="1" applyFont="1" applyBorder="1"/>
    <xf numFmtId="166" fontId="8" fillId="0" borderId="61" xfId="0" applyNumberFormat="1" applyFont="1" applyBorder="1"/>
    <xf numFmtId="166" fontId="8" fillId="6" borderId="59" xfId="0" applyNumberFormat="1" applyFont="1" applyFill="1" applyBorder="1" applyAlignment="1">
      <alignment vertical="top"/>
    </xf>
    <xf numFmtId="166" fontId="8" fillId="6" borderId="60" xfId="0" applyNumberFormat="1" applyFont="1" applyFill="1" applyBorder="1" applyAlignment="1">
      <alignment vertical="top"/>
    </xf>
    <xf numFmtId="166" fontId="8" fillId="6" borderId="61" xfId="0" applyNumberFormat="1" applyFont="1" applyFill="1" applyBorder="1" applyAlignment="1">
      <alignment vertical="top"/>
    </xf>
    <xf numFmtId="0" fontId="8" fillId="0" borderId="59" xfId="0" applyFont="1" applyBorder="1" applyAlignment="1">
      <alignment horizontal="center" vertical="top"/>
    </xf>
    <xf numFmtId="166" fontId="8" fillId="0" borderId="46" xfId="0" applyNumberFormat="1" applyFont="1" applyBorder="1" applyAlignment="1">
      <alignment horizontal="center" vertical="top"/>
    </xf>
    <xf numFmtId="166" fontId="8" fillId="0" borderId="62" xfId="0" applyNumberFormat="1" applyFont="1" applyBorder="1" applyAlignment="1">
      <alignment vertical="top"/>
    </xf>
    <xf numFmtId="166" fontId="8" fillId="0" borderId="1" xfId="0" applyNumberFormat="1" applyFont="1" applyBorder="1"/>
    <xf numFmtId="166" fontId="8" fillId="0" borderId="63" xfId="0" applyNumberFormat="1" applyFont="1" applyBorder="1"/>
    <xf numFmtId="166" fontId="8" fillId="6" borderId="62" xfId="0" applyNumberFormat="1" applyFont="1" applyFill="1" applyBorder="1" applyAlignment="1">
      <alignment vertical="top"/>
    </xf>
    <xf numFmtId="166" fontId="8" fillId="6" borderId="1" xfId="0" applyNumberFormat="1" applyFont="1" applyFill="1" applyBorder="1" applyAlignment="1">
      <alignment vertical="top"/>
    </xf>
    <xf numFmtId="166" fontId="8" fillId="6" borderId="63" xfId="0" applyNumberFormat="1" applyFont="1" applyFill="1" applyBorder="1" applyAlignment="1">
      <alignment vertical="top"/>
    </xf>
    <xf numFmtId="0" fontId="8" fillId="0" borderId="62" xfId="0" applyFont="1" applyBorder="1" applyAlignment="1">
      <alignment horizontal="center" vertical="top"/>
    </xf>
    <xf numFmtId="166" fontId="8" fillId="0" borderId="64" xfId="0" applyNumberFormat="1" applyFont="1" applyBorder="1" applyAlignment="1">
      <alignment vertical="top"/>
    </xf>
    <xf numFmtId="166" fontId="8" fillId="0" borderId="65" xfId="0" applyNumberFormat="1" applyFont="1" applyBorder="1" applyAlignment="1">
      <alignment vertical="top"/>
    </xf>
    <xf numFmtId="166" fontId="8" fillId="0" borderId="65" xfId="0" applyNumberFormat="1" applyFont="1" applyBorder="1"/>
    <xf numFmtId="166" fontId="8" fillId="0" borderId="66" xfId="0" applyNumberFormat="1" applyFont="1" applyBorder="1"/>
    <xf numFmtId="166" fontId="8" fillId="6" borderId="64" xfId="0" applyNumberFormat="1" applyFont="1" applyFill="1" applyBorder="1" applyAlignment="1">
      <alignment vertical="top"/>
    </xf>
    <xf numFmtId="166" fontId="8" fillId="6" borderId="65" xfId="0" applyNumberFormat="1" applyFont="1" applyFill="1" applyBorder="1" applyAlignment="1">
      <alignment vertical="top"/>
    </xf>
    <xf numFmtId="166" fontId="8" fillId="6" borderId="66" xfId="0" applyNumberFormat="1" applyFont="1" applyFill="1" applyBorder="1" applyAlignment="1">
      <alignment vertical="top"/>
    </xf>
    <xf numFmtId="0" fontId="8" fillId="0" borderId="64" xfId="0" applyFont="1" applyBorder="1" applyAlignment="1">
      <alignment horizontal="center" vertical="top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2" fillId="0" borderId="34" xfId="0" applyFont="1" applyBorder="1" applyAlignment="1">
      <alignment horizontal="center" vertical="top"/>
    </xf>
    <xf numFmtId="0" fontId="3" fillId="0" borderId="36" xfId="0" applyFont="1" applyBorder="1"/>
    <xf numFmtId="0" fontId="1" fillId="0" borderId="2" xfId="0" applyFont="1" applyBorder="1" applyAlignment="1">
      <alignment vertical="top"/>
    </xf>
    <xf numFmtId="0" fontId="3" fillId="0" borderId="3" xfId="0" applyFont="1" applyBorder="1"/>
    <xf numFmtId="0" fontId="3" fillId="0" borderId="29" xfId="0" applyFont="1" applyBorder="1"/>
    <xf numFmtId="0" fontId="2" fillId="0" borderId="26" xfId="0" applyFont="1" applyBorder="1" applyAlignment="1">
      <alignment vertical="top"/>
    </xf>
    <xf numFmtId="0" fontId="3" fillId="0" borderId="23" xfId="0" applyFont="1" applyBorder="1"/>
    <xf numFmtId="0" fontId="3" fillId="0" borderId="27" xfId="0" applyFont="1" applyBorder="1"/>
    <xf numFmtId="0" fontId="2" fillId="2" borderId="19" xfId="0" applyFont="1" applyFill="1" applyBorder="1" applyAlignment="1">
      <alignment vertical="top"/>
    </xf>
    <xf numFmtId="0" fontId="3" fillId="0" borderId="20" xfId="0" applyFont="1" applyBorder="1"/>
    <xf numFmtId="0" fontId="3" fillId="0" borderId="21" xfId="0" applyFont="1" applyBorder="1"/>
    <xf numFmtId="0" fontId="1" fillId="0" borderId="28" xfId="0" applyFont="1" applyBorder="1" applyAlignment="1">
      <alignment vertical="top"/>
    </xf>
    <xf numFmtId="0" fontId="3" fillId="0" borderId="4" xfId="0" applyFont="1" applyBorder="1"/>
    <xf numFmtId="0" fontId="2" fillId="0" borderId="40" xfId="0" applyFont="1" applyBorder="1" applyAlignment="1">
      <alignment horizontal="center" vertical="center" textRotation="90"/>
    </xf>
    <xf numFmtId="0" fontId="3" fillId="0" borderId="47" xfId="0" applyFont="1" applyBorder="1"/>
    <xf numFmtId="0" fontId="3" fillId="0" borderId="52" xfId="0" applyFont="1" applyBorder="1"/>
    <xf numFmtId="0" fontId="2" fillId="2" borderId="6" xfId="0" applyFont="1" applyFill="1" applyBorder="1" applyAlignment="1">
      <alignment horizontal="center" vertical="top"/>
    </xf>
    <xf numFmtId="0" fontId="3" fillId="0" borderId="7" xfId="0" applyFont="1" applyBorder="1"/>
    <xf numFmtId="0" fontId="2" fillId="2" borderId="19" xfId="0" applyFont="1" applyFill="1" applyBorder="1"/>
    <xf numFmtId="0" fontId="1" fillId="0" borderId="22" xfId="0" applyFont="1" applyBorder="1" applyAlignment="1">
      <alignment vertical="top"/>
    </xf>
    <xf numFmtId="0" fontId="3" fillId="0" borderId="24" xfId="0" applyFont="1" applyBorder="1"/>
    <xf numFmtId="0" fontId="2" fillId="2" borderId="33" xfId="0" applyFont="1" applyFill="1" applyBorder="1" applyAlignment="1">
      <alignment horizontal="center" vertical="top"/>
    </xf>
    <xf numFmtId="0" fontId="3" fillId="0" borderId="37" xfId="0" applyFont="1" applyBorder="1"/>
    <xf numFmtId="0" fontId="3" fillId="0" borderId="35" xfId="0" applyFont="1" applyBorder="1"/>
    <xf numFmtId="0" fontId="2" fillId="6" borderId="34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014"/>
  <sheetViews>
    <sheetView tabSelected="1" zoomScale="60" workbookViewId="0">
      <selection activeCell="D29" sqref="D29"/>
    </sheetView>
  </sheetViews>
  <sheetFormatPr baseColWidth="10" defaultColWidth="12.6640625" defaultRowHeight="13" x14ac:dyDescent="0.15"/>
  <cols>
    <col min="1" max="1" width="3" customWidth="1"/>
    <col min="2" max="2" width="4.5" customWidth="1"/>
    <col min="3" max="3" width="43.6640625" customWidth="1"/>
    <col min="4" max="4" width="33.5" customWidth="1"/>
    <col min="5" max="5" width="26.1640625" customWidth="1"/>
    <col min="6" max="6" width="34.33203125" customWidth="1"/>
    <col min="7" max="7" width="31.33203125" customWidth="1"/>
    <col min="8" max="8" width="48.5" customWidth="1"/>
    <col min="9" max="9" width="34.33203125" customWidth="1"/>
    <col min="10" max="10" width="24" customWidth="1"/>
    <col min="11" max="11" width="33" customWidth="1"/>
    <col min="12" max="12" width="33.1640625" customWidth="1"/>
    <col min="13" max="13" width="39.6640625" customWidth="1"/>
  </cols>
  <sheetData>
    <row r="1" spans="1:30" ht="23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23" x14ac:dyDescent="0.15">
      <c r="A2" s="1"/>
      <c r="B2" s="2"/>
      <c r="C2" s="3" t="s">
        <v>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23" x14ac:dyDescent="0.15">
      <c r="A3" s="1"/>
      <c r="B3" s="2"/>
      <c r="C3" s="117" t="s">
        <v>1</v>
      </c>
      <c r="D3" s="118"/>
      <c r="E3" s="118"/>
      <c r="F3" s="118"/>
      <c r="G3" s="118"/>
      <c r="H3" s="118"/>
      <c r="I3" s="118"/>
      <c r="J3" s="12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ht="23" x14ac:dyDescent="0.15">
      <c r="A4" s="1"/>
      <c r="B4" s="2"/>
      <c r="C4" s="5"/>
      <c r="D4" s="5"/>
      <c r="E4" s="5"/>
      <c r="F4" s="5"/>
      <c r="G4" s="2"/>
      <c r="H4" s="5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ht="23" x14ac:dyDescent="0.25">
      <c r="A5" s="1"/>
      <c r="B5" s="4"/>
      <c r="C5" s="131" t="s">
        <v>2</v>
      </c>
      <c r="D5" s="132"/>
      <c r="E5" s="132"/>
      <c r="F5" s="6" t="s">
        <v>3</v>
      </c>
      <c r="G5" s="7"/>
      <c r="H5" s="8" t="s">
        <v>4</v>
      </c>
      <c r="I5" s="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ht="23" x14ac:dyDescent="0.25">
      <c r="A6" s="1"/>
      <c r="B6" s="4"/>
      <c r="C6" s="10" t="s">
        <v>5</v>
      </c>
      <c r="D6" s="11"/>
      <c r="E6" s="11"/>
      <c r="F6" s="12">
        <v>20000000</v>
      </c>
      <c r="G6" s="13"/>
      <c r="H6" s="14" t="s">
        <v>6</v>
      </c>
      <c r="I6" s="1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ht="23" x14ac:dyDescent="0.25">
      <c r="A7" s="1"/>
      <c r="B7" s="4"/>
      <c r="C7" s="10" t="s">
        <v>7</v>
      </c>
      <c r="D7" s="16"/>
      <c r="E7" s="16"/>
      <c r="F7" s="17">
        <v>1.1599999999999999</v>
      </c>
      <c r="G7" s="18"/>
      <c r="H7" s="19" t="s">
        <v>8</v>
      </c>
      <c r="I7" s="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ht="23" x14ac:dyDescent="0.15">
      <c r="A8" s="1"/>
      <c r="B8" s="4"/>
      <c r="C8" s="20" t="s">
        <v>9</v>
      </c>
      <c r="D8" s="21"/>
      <c r="E8" s="21"/>
      <c r="F8" s="22"/>
      <c r="G8" s="9"/>
      <c r="H8" s="23" t="s">
        <v>10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ht="23" x14ac:dyDescent="0.15">
      <c r="A9" s="1"/>
      <c r="B9" s="4"/>
      <c r="C9" s="10" t="s">
        <v>11</v>
      </c>
      <c r="D9" s="21"/>
      <c r="E9" s="21"/>
      <c r="F9" s="24">
        <v>0.05</v>
      </c>
      <c r="G9" s="9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23" x14ac:dyDescent="0.15">
      <c r="A10" s="1"/>
      <c r="B10" s="4"/>
      <c r="C10" s="10" t="s">
        <v>12</v>
      </c>
      <c r="D10" s="21"/>
      <c r="E10" s="21"/>
      <c r="F10" s="24">
        <v>0.03</v>
      </c>
      <c r="G10" s="25" t="s">
        <v>13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t="23" x14ac:dyDescent="0.15">
      <c r="A11" s="1"/>
      <c r="B11" s="4"/>
      <c r="C11" s="20" t="s">
        <v>14</v>
      </c>
      <c r="D11" s="16"/>
      <c r="E11" s="16"/>
      <c r="F11" s="26"/>
      <c r="G11" s="9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23" x14ac:dyDescent="0.15">
      <c r="A12" s="1"/>
      <c r="B12" s="4"/>
      <c r="C12" s="10" t="s">
        <v>15</v>
      </c>
      <c r="D12" s="16"/>
      <c r="E12" s="16"/>
      <c r="F12" s="17">
        <v>1.0934999999999999</v>
      </c>
      <c r="G12" s="9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ht="23" x14ac:dyDescent="0.15">
      <c r="A13" s="1"/>
      <c r="B13" s="4"/>
      <c r="C13" s="20" t="s">
        <v>16</v>
      </c>
      <c r="D13" s="2"/>
      <c r="E13" s="2"/>
      <c r="F13" s="27"/>
      <c r="G13" s="9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ht="23" x14ac:dyDescent="0.25">
      <c r="A14" s="1"/>
      <c r="B14" s="4"/>
      <c r="C14" s="28" t="s">
        <v>17</v>
      </c>
      <c r="D14" s="29"/>
      <c r="E14" s="29"/>
      <c r="F14" s="30">
        <v>1.35</v>
      </c>
      <c r="G14" s="9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ht="23" x14ac:dyDescent="0.25">
      <c r="A15" s="1"/>
      <c r="B15" s="4"/>
      <c r="C15" s="31" t="s">
        <v>18</v>
      </c>
      <c r="D15" s="32"/>
      <c r="E15" s="32"/>
      <c r="F15" s="33">
        <v>0.03</v>
      </c>
      <c r="G15" s="9"/>
      <c r="H15" s="34"/>
      <c r="I15" s="2"/>
      <c r="J15" s="34"/>
      <c r="K15" s="34"/>
      <c r="L15" s="34"/>
      <c r="M15" s="34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ht="23" x14ac:dyDescent="0.25">
      <c r="A16" s="1"/>
      <c r="B16" s="2"/>
      <c r="C16" s="35"/>
      <c r="D16" s="35"/>
      <c r="E16" s="35"/>
      <c r="F16" s="35"/>
      <c r="G16" s="36"/>
      <c r="H16" s="36"/>
      <c r="I16" s="5"/>
      <c r="J16" s="37"/>
      <c r="K16" s="34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ht="23" x14ac:dyDescent="0.25">
      <c r="A17" s="1"/>
      <c r="B17" s="4"/>
      <c r="C17" s="133" t="s">
        <v>19</v>
      </c>
      <c r="D17" s="124"/>
      <c r="E17" s="124"/>
      <c r="F17" s="124"/>
      <c r="G17" s="124"/>
      <c r="H17" s="124"/>
      <c r="I17" s="124"/>
      <c r="J17" s="125"/>
      <c r="K17" s="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ht="23" x14ac:dyDescent="0.15">
      <c r="A18" s="1"/>
      <c r="B18" s="4"/>
      <c r="C18" s="134" t="s">
        <v>20</v>
      </c>
      <c r="D18" s="121"/>
      <c r="E18" s="135"/>
      <c r="F18" s="38">
        <f>F6*for_GBPUSD</f>
        <v>21870000</v>
      </c>
      <c r="G18" s="120" t="s">
        <v>21</v>
      </c>
      <c r="H18" s="121"/>
      <c r="I18" s="121"/>
      <c r="J18" s="122"/>
      <c r="K18" s="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ht="23" x14ac:dyDescent="0.15">
      <c r="A19" s="1"/>
      <c r="B19" s="2"/>
      <c r="C19" s="35"/>
      <c r="D19" s="35"/>
      <c r="E19" s="35"/>
      <c r="F19" s="35"/>
      <c r="G19" s="39"/>
      <c r="H19" s="35"/>
      <c r="I19" s="35"/>
      <c r="J19" s="35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ht="23" x14ac:dyDescent="0.15">
      <c r="A20" s="1"/>
      <c r="B20" s="4"/>
      <c r="C20" s="123" t="s">
        <v>22</v>
      </c>
      <c r="D20" s="124"/>
      <c r="E20" s="124"/>
      <c r="F20" s="124"/>
      <c r="G20" s="124"/>
      <c r="H20" s="124"/>
      <c r="I20" s="124"/>
      <c r="J20" s="125"/>
      <c r="K20" s="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ht="23" x14ac:dyDescent="0.15">
      <c r="A21" s="1"/>
      <c r="B21" s="4"/>
      <c r="C21" s="126" t="s">
        <v>23</v>
      </c>
      <c r="D21" s="118"/>
      <c r="E21" s="127"/>
      <c r="F21" s="40">
        <f>F6/(1+F10)</f>
        <v>19417475.728155341</v>
      </c>
      <c r="G21" s="117"/>
      <c r="H21" s="118"/>
      <c r="I21" s="118"/>
      <c r="J21" s="119"/>
      <c r="K21" s="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ht="23" x14ac:dyDescent="0.15">
      <c r="A22" s="1"/>
      <c r="B22" s="4"/>
      <c r="C22" s="126" t="s">
        <v>24</v>
      </c>
      <c r="D22" s="118"/>
      <c r="E22" s="127"/>
      <c r="F22" s="41">
        <f>F21*F7</f>
        <v>22524271.844660193</v>
      </c>
      <c r="G22" s="117"/>
      <c r="H22" s="118"/>
      <c r="I22" s="118"/>
      <c r="J22" s="119"/>
      <c r="K22" s="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ht="23" x14ac:dyDescent="0.15">
      <c r="A23" s="1"/>
      <c r="B23" s="4"/>
      <c r="C23" s="126" t="s">
        <v>25</v>
      </c>
      <c r="D23" s="118"/>
      <c r="E23" s="127"/>
      <c r="F23" s="41">
        <f>F22*(1+F9)</f>
        <v>23650485.436893202</v>
      </c>
      <c r="G23" s="117"/>
      <c r="H23" s="118"/>
      <c r="I23" s="118"/>
      <c r="J23" s="119"/>
      <c r="K23" s="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ht="23" x14ac:dyDescent="0.15">
      <c r="A24" s="1"/>
      <c r="B24" s="4"/>
      <c r="C24" s="42"/>
      <c r="D24" s="43"/>
      <c r="E24" s="43"/>
      <c r="F24" s="38">
        <f>F23</f>
        <v>23650485.436893202</v>
      </c>
      <c r="G24" s="120" t="s">
        <v>21</v>
      </c>
      <c r="H24" s="121"/>
      <c r="I24" s="121"/>
      <c r="J24" s="122"/>
      <c r="K24" s="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ht="23" x14ac:dyDescent="0.15">
      <c r="A25" s="1"/>
      <c r="B25" s="2"/>
      <c r="C25" s="35"/>
      <c r="D25" s="35"/>
      <c r="E25" s="35"/>
      <c r="F25" s="35"/>
      <c r="G25" s="39"/>
      <c r="H25" s="35"/>
      <c r="I25" s="35"/>
      <c r="J25" s="35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ht="23" x14ac:dyDescent="0.15">
      <c r="A26" s="1"/>
      <c r="B26" s="4"/>
      <c r="C26" s="123" t="s">
        <v>26</v>
      </c>
      <c r="D26" s="124"/>
      <c r="E26" s="124"/>
      <c r="F26" s="124"/>
      <c r="G26" s="124"/>
      <c r="H26" s="124"/>
      <c r="I26" s="124"/>
      <c r="J26" s="125"/>
      <c r="K26" s="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ht="23" x14ac:dyDescent="0.25">
      <c r="A27" s="1"/>
      <c r="B27" s="4"/>
      <c r="C27" s="126" t="s">
        <v>27</v>
      </c>
      <c r="D27" s="118"/>
      <c r="E27" s="127"/>
      <c r="F27" s="41">
        <f>-put_price*recievable</f>
        <v>-600000</v>
      </c>
      <c r="G27" s="34" t="e">
        <f ca="1">_xludf.FORMULATEXT(F27)</f>
        <v>#NAME?</v>
      </c>
      <c r="H27" s="2"/>
      <c r="I27" s="2"/>
      <c r="J27" s="44"/>
      <c r="K27" s="9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ht="23" x14ac:dyDescent="0.25">
      <c r="A28" s="1"/>
      <c r="B28" s="4"/>
      <c r="C28" s="126" t="s">
        <v>28</v>
      </c>
      <c r="D28" s="118"/>
      <c r="E28" s="127"/>
      <c r="F28" s="41">
        <f>F27*(1+F9)</f>
        <v>-630000</v>
      </c>
      <c r="G28" s="34"/>
      <c r="H28" s="2"/>
      <c r="I28" s="2"/>
      <c r="J28" s="44"/>
      <c r="K28" s="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ht="23" x14ac:dyDescent="0.15">
      <c r="A29" s="1"/>
      <c r="B29" s="4"/>
      <c r="C29" s="42"/>
      <c r="D29" s="45"/>
      <c r="E29" s="45"/>
      <c r="F29" s="46">
        <f>MIN(G33:G45)</f>
        <v>27370000</v>
      </c>
      <c r="G29" s="120" t="s">
        <v>29</v>
      </c>
      <c r="H29" s="121"/>
      <c r="I29" s="121"/>
      <c r="J29" s="122"/>
      <c r="K29" s="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ht="23" x14ac:dyDescent="0.15">
      <c r="A30" s="1"/>
      <c r="B30" s="2"/>
      <c r="C30" s="47"/>
      <c r="D30" s="35"/>
      <c r="E30" s="35"/>
      <c r="F30" s="35"/>
      <c r="G30" s="39"/>
      <c r="H30" s="47"/>
      <c r="I30" s="47"/>
      <c r="J30" s="47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ht="23" x14ac:dyDescent="0.15">
      <c r="A31" s="1"/>
      <c r="B31" s="4"/>
      <c r="C31" s="136" t="s">
        <v>30</v>
      </c>
      <c r="D31" s="115" t="s">
        <v>31</v>
      </c>
      <c r="E31" s="138"/>
      <c r="F31" s="138"/>
      <c r="G31" s="116"/>
      <c r="H31" s="139" t="s">
        <v>32</v>
      </c>
      <c r="I31" s="138"/>
      <c r="J31" s="116"/>
      <c r="K31" s="115" t="s">
        <v>33</v>
      </c>
      <c r="L31" s="116"/>
      <c r="M31" s="9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ht="23" x14ac:dyDescent="0.15">
      <c r="A32" s="1"/>
      <c r="B32" s="4"/>
      <c r="C32" s="137"/>
      <c r="D32" s="48" t="s">
        <v>34</v>
      </c>
      <c r="E32" s="49" t="s">
        <v>19</v>
      </c>
      <c r="F32" s="50" t="s">
        <v>22</v>
      </c>
      <c r="G32" s="51" t="s">
        <v>26</v>
      </c>
      <c r="H32" s="52" t="s">
        <v>35</v>
      </c>
      <c r="I32" s="53" t="s">
        <v>22</v>
      </c>
      <c r="J32" s="54" t="s">
        <v>26</v>
      </c>
      <c r="K32" s="48" t="s">
        <v>36</v>
      </c>
      <c r="L32" s="55" t="s">
        <v>37</v>
      </c>
      <c r="M32" s="9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ht="23" x14ac:dyDescent="0.25">
      <c r="A33" s="56"/>
      <c r="B33" s="128" t="s">
        <v>38</v>
      </c>
      <c r="C33" s="57">
        <f t="shared" ref="C33:C38" si="0">C34-0.01</f>
        <v>1.4</v>
      </c>
      <c r="D33" s="58">
        <f>C33*$F$6</f>
        <v>28000000</v>
      </c>
      <c r="E33" s="59">
        <f t="shared" ref="E33:E45" si="1">$D33+($F$12-C33)*$F$6</f>
        <v>21870000</v>
      </c>
      <c r="F33" s="60">
        <f t="shared" ref="F33:F45" si="2">$F$24</f>
        <v>23650485.436893202</v>
      </c>
      <c r="G33" s="61">
        <f>hedge_no+J33</f>
        <v>27370000</v>
      </c>
      <c r="H33" s="62">
        <f t="shared" ref="H33:H45" si="3">($F$12-C33)*$F$6</f>
        <v>-6130000</v>
      </c>
      <c r="I33" s="63">
        <f t="shared" ref="I33:I45" si="4">$F$24-D33</f>
        <v>-4349514.5631067976</v>
      </c>
      <c r="J33" s="64">
        <f t="shared" ref="J33:J45" si="5">fv_put_outlay+MAX(0,(x_put-gbpusd_1y_scenario)*recievable)</f>
        <v>-630000</v>
      </c>
      <c r="K33" s="65" t="str">
        <f t="shared" ref="K33:K45" si="6">IF(E33= MAX(D33,E33,F33,G33),$E$32,IF(F33= MAX(D33,E33,F33,G33),$F$32,IF(G33= MAX(D33,E33,F33,G33),$G$32,$D$32)))</f>
        <v>0. No Hedge</v>
      </c>
      <c r="L33" s="66" t="str">
        <f t="shared" ref="L33:L45" si="7">IF(E33= MAX(E33,F33,G33),$E$32,IF(F33= MAX(E33,F33,G33),$F$32,$G$32))</f>
        <v>3. Option Hedge</v>
      </c>
      <c r="M33" s="9" t="s">
        <v>39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ht="28" x14ac:dyDescent="0.25">
      <c r="A34" s="56"/>
      <c r="B34" s="129"/>
      <c r="C34" s="67">
        <f t="shared" si="0"/>
        <v>1.41</v>
      </c>
      <c r="D34" s="68">
        <f t="shared" ref="D34:D45" si="8">C34*$F$6</f>
        <v>28200000</v>
      </c>
      <c r="E34" s="69">
        <f t="shared" si="1"/>
        <v>21870000</v>
      </c>
      <c r="F34" s="70">
        <f t="shared" si="2"/>
        <v>23650485.436893202</v>
      </c>
      <c r="G34" s="71">
        <f t="shared" ref="G34:G45" si="9">$D34+J34</f>
        <v>27570000</v>
      </c>
      <c r="H34" s="72">
        <f t="shared" si="3"/>
        <v>-6330000</v>
      </c>
      <c r="I34" s="73">
        <f t="shared" si="4"/>
        <v>-4549514.5631067976</v>
      </c>
      <c r="J34" s="64">
        <f t="shared" si="5"/>
        <v>-630000</v>
      </c>
      <c r="K34" s="74" t="str">
        <f t="shared" si="6"/>
        <v>0. No Hedge</v>
      </c>
      <c r="L34" s="75" t="str">
        <f t="shared" si="7"/>
        <v>3. Option Hedge</v>
      </c>
      <c r="M34" s="76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ht="23" x14ac:dyDescent="0.25">
      <c r="A35" s="56"/>
      <c r="B35" s="129"/>
      <c r="C35" s="67">
        <f t="shared" si="0"/>
        <v>1.42</v>
      </c>
      <c r="D35" s="68">
        <f t="shared" si="8"/>
        <v>28400000</v>
      </c>
      <c r="E35" s="69">
        <f t="shared" si="1"/>
        <v>21870000</v>
      </c>
      <c r="F35" s="70">
        <f t="shared" si="2"/>
        <v>23650485.436893202</v>
      </c>
      <c r="G35" s="71">
        <f t="shared" si="9"/>
        <v>27770000</v>
      </c>
      <c r="H35" s="72">
        <f t="shared" si="3"/>
        <v>-6530000</v>
      </c>
      <c r="I35" s="73">
        <f t="shared" si="4"/>
        <v>-4749514.5631067976</v>
      </c>
      <c r="J35" s="64">
        <f t="shared" si="5"/>
        <v>-630000</v>
      </c>
      <c r="K35" s="74" t="str">
        <f t="shared" si="6"/>
        <v>0. No Hedge</v>
      </c>
      <c r="L35" s="75" t="str">
        <f t="shared" si="7"/>
        <v>3. Option Hedge</v>
      </c>
      <c r="M35" s="9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ht="23" x14ac:dyDescent="0.25">
      <c r="A36" s="56"/>
      <c r="B36" s="129"/>
      <c r="C36" s="67">
        <f t="shared" si="0"/>
        <v>1.43</v>
      </c>
      <c r="D36" s="68">
        <f t="shared" si="8"/>
        <v>28600000</v>
      </c>
      <c r="E36" s="69">
        <f t="shared" si="1"/>
        <v>21870000</v>
      </c>
      <c r="F36" s="70">
        <f t="shared" si="2"/>
        <v>23650485.436893202</v>
      </c>
      <c r="G36" s="71">
        <f t="shared" si="9"/>
        <v>27970000</v>
      </c>
      <c r="H36" s="72">
        <f t="shared" si="3"/>
        <v>-6730000</v>
      </c>
      <c r="I36" s="73">
        <f t="shared" si="4"/>
        <v>-4949514.5631067976</v>
      </c>
      <c r="J36" s="64">
        <f t="shared" si="5"/>
        <v>-630000</v>
      </c>
      <c r="K36" s="74" t="str">
        <f t="shared" si="6"/>
        <v>0. No Hedge</v>
      </c>
      <c r="L36" s="75" t="str">
        <f t="shared" si="7"/>
        <v>3. Option Hedge</v>
      </c>
      <c r="M36" s="9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ht="23" x14ac:dyDescent="0.25">
      <c r="A37" s="56"/>
      <c r="B37" s="129"/>
      <c r="C37" s="67">
        <f t="shared" si="0"/>
        <v>1.44</v>
      </c>
      <c r="D37" s="68">
        <f t="shared" si="8"/>
        <v>28800000</v>
      </c>
      <c r="E37" s="69">
        <f t="shared" si="1"/>
        <v>21870000</v>
      </c>
      <c r="F37" s="70">
        <f t="shared" si="2"/>
        <v>23650485.436893202</v>
      </c>
      <c r="G37" s="71">
        <f t="shared" si="9"/>
        <v>28170000</v>
      </c>
      <c r="H37" s="72">
        <f t="shared" si="3"/>
        <v>-6930000.0000000009</v>
      </c>
      <c r="I37" s="73">
        <f t="shared" si="4"/>
        <v>-5149514.5631067976</v>
      </c>
      <c r="J37" s="64">
        <f t="shared" si="5"/>
        <v>-630000</v>
      </c>
      <c r="K37" s="74" t="str">
        <f t="shared" si="6"/>
        <v>0. No Hedge</v>
      </c>
      <c r="L37" s="75" t="str">
        <f t="shared" si="7"/>
        <v>3. Option Hedge</v>
      </c>
      <c r="M37" s="9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ht="23" x14ac:dyDescent="0.25">
      <c r="A38" s="56"/>
      <c r="B38" s="129"/>
      <c r="C38" s="67">
        <f t="shared" si="0"/>
        <v>1.45</v>
      </c>
      <c r="D38" s="68">
        <f t="shared" si="8"/>
        <v>29000000</v>
      </c>
      <c r="E38" s="69">
        <f t="shared" si="1"/>
        <v>21870000</v>
      </c>
      <c r="F38" s="70">
        <f t="shared" si="2"/>
        <v>23650485.436893202</v>
      </c>
      <c r="G38" s="71">
        <f t="shared" si="9"/>
        <v>28370000</v>
      </c>
      <c r="H38" s="72">
        <f t="shared" si="3"/>
        <v>-7130000.0000000009</v>
      </c>
      <c r="I38" s="73">
        <f t="shared" si="4"/>
        <v>-5349514.5631067976</v>
      </c>
      <c r="J38" s="64">
        <f t="shared" si="5"/>
        <v>-630000</v>
      </c>
      <c r="K38" s="74" t="str">
        <f t="shared" si="6"/>
        <v>0. No Hedge</v>
      </c>
      <c r="L38" s="75" t="str">
        <f t="shared" si="7"/>
        <v>3. Option Hedge</v>
      </c>
      <c r="M38" s="9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ht="23" x14ac:dyDescent="0.25">
      <c r="A39" s="56"/>
      <c r="B39" s="129"/>
      <c r="C39" s="67">
        <v>1.46</v>
      </c>
      <c r="D39" s="68">
        <f t="shared" si="8"/>
        <v>29200000</v>
      </c>
      <c r="E39" s="69">
        <f t="shared" si="1"/>
        <v>21870000</v>
      </c>
      <c r="F39" s="70">
        <f t="shared" si="2"/>
        <v>23650485.436893202</v>
      </c>
      <c r="G39" s="71">
        <f t="shared" si="9"/>
        <v>28570000</v>
      </c>
      <c r="H39" s="72">
        <f t="shared" si="3"/>
        <v>-7330000.0000000009</v>
      </c>
      <c r="I39" s="73">
        <f t="shared" si="4"/>
        <v>-5549514.5631067976</v>
      </c>
      <c r="J39" s="64">
        <f t="shared" si="5"/>
        <v>-630000</v>
      </c>
      <c r="K39" s="74" t="str">
        <f t="shared" si="6"/>
        <v>0. No Hedge</v>
      </c>
      <c r="L39" s="75" t="str">
        <f t="shared" si="7"/>
        <v>3. Option Hedge</v>
      </c>
      <c r="M39" s="9" t="s">
        <v>40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ht="23" x14ac:dyDescent="0.25">
      <c r="A40" s="56"/>
      <c r="B40" s="129"/>
      <c r="C40" s="67">
        <f t="shared" ref="C40:C45" si="10">C39+0.01</f>
        <v>1.47</v>
      </c>
      <c r="D40" s="68">
        <f t="shared" si="8"/>
        <v>29400000</v>
      </c>
      <c r="E40" s="69">
        <f t="shared" si="1"/>
        <v>21870000</v>
      </c>
      <c r="F40" s="70">
        <f t="shared" si="2"/>
        <v>23650485.436893202</v>
      </c>
      <c r="G40" s="71">
        <f t="shared" si="9"/>
        <v>28770000</v>
      </c>
      <c r="H40" s="72">
        <f t="shared" si="3"/>
        <v>-7530000.0000000009</v>
      </c>
      <c r="I40" s="73">
        <f t="shared" si="4"/>
        <v>-5749514.5631067976</v>
      </c>
      <c r="J40" s="64">
        <f t="shared" si="5"/>
        <v>-630000</v>
      </c>
      <c r="K40" s="74" t="str">
        <f t="shared" si="6"/>
        <v>0. No Hedge</v>
      </c>
      <c r="L40" s="75" t="str">
        <f t="shared" si="7"/>
        <v>3. Option Hedge</v>
      </c>
      <c r="M40" s="9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ht="23" x14ac:dyDescent="0.25">
      <c r="A41" s="56"/>
      <c r="B41" s="129"/>
      <c r="C41" s="67">
        <f t="shared" si="10"/>
        <v>1.48</v>
      </c>
      <c r="D41" s="68">
        <f t="shared" si="8"/>
        <v>29600000</v>
      </c>
      <c r="E41" s="69">
        <f t="shared" si="1"/>
        <v>21870000</v>
      </c>
      <c r="F41" s="70">
        <f t="shared" si="2"/>
        <v>23650485.436893202</v>
      </c>
      <c r="G41" s="71">
        <f t="shared" si="9"/>
        <v>28970000</v>
      </c>
      <c r="H41" s="72">
        <f t="shared" si="3"/>
        <v>-7730000.0000000009</v>
      </c>
      <c r="I41" s="73">
        <f t="shared" si="4"/>
        <v>-5949514.5631067976</v>
      </c>
      <c r="J41" s="64">
        <f t="shared" si="5"/>
        <v>-630000</v>
      </c>
      <c r="K41" s="74" t="str">
        <f t="shared" si="6"/>
        <v>0. No Hedge</v>
      </c>
      <c r="L41" s="75" t="str">
        <f t="shared" si="7"/>
        <v>3. Option Hedge</v>
      </c>
      <c r="M41" s="9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ht="23" x14ac:dyDescent="0.25">
      <c r="A42" s="56"/>
      <c r="B42" s="129"/>
      <c r="C42" s="67">
        <f t="shared" si="10"/>
        <v>1.49</v>
      </c>
      <c r="D42" s="68">
        <f t="shared" si="8"/>
        <v>29800000</v>
      </c>
      <c r="E42" s="69">
        <f t="shared" si="1"/>
        <v>21870000</v>
      </c>
      <c r="F42" s="70">
        <f t="shared" si="2"/>
        <v>23650485.436893202</v>
      </c>
      <c r="G42" s="71">
        <f t="shared" si="9"/>
        <v>29170000</v>
      </c>
      <c r="H42" s="72">
        <f t="shared" si="3"/>
        <v>-7930000.0000000019</v>
      </c>
      <c r="I42" s="73">
        <f t="shared" si="4"/>
        <v>-6149514.5631067976</v>
      </c>
      <c r="J42" s="64">
        <f t="shared" si="5"/>
        <v>-630000</v>
      </c>
      <c r="K42" s="74" t="str">
        <f t="shared" si="6"/>
        <v>0. No Hedge</v>
      </c>
      <c r="L42" s="77" t="str">
        <f t="shared" si="7"/>
        <v>3. Option Hedge</v>
      </c>
      <c r="M42" s="9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ht="23" x14ac:dyDescent="0.25">
      <c r="A43" s="56"/>
      <c r="B43" s="129"/>
      <c r="C43" s="67">
        <f t="shared" si="10"/>
        <v>1.5</v>
      </c>
      <c r="D43" s="68">
        <f t="shared" si="8"/>
        <v>30000000</v>
      </c>
      <c r="E43" s="69">
        <f t="shared" si="1"/>
        <v>21870000</v>
      </c>
      <c r="F43" s="70">
        <f t="shared" si="2"/>
        <v>23650485.436893202</v>
      </c>
      <c r="G43" s="71">
        <f t="shared" si="9"/>
        <v>29370000</v>
      </c>
      <c r="H43" s="72">
        <f t="shared" si="3"/>
        <v>-8130000.0000000019</v>
      </c>
      <c r="I43" s="73">
        <f t="shared" si="4"/>
        <v>-6349514.5631067976</v>
      </c>
      <c r="J43" s="64">
        <f t="shared" si="5"/>
        <v>-630000</v>
      </c>
      <c r="K43" s="74" t="str">
        <f t="shared" si="6"/>
        <v>0. No Hedge</v>
      </c>
      <c r="L43" s="77" t="str">
        <f t="shared" si="7"/>
        <v>3. Option Hedge</v>
      </c>
      <c r="M43" s="9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ht="23" x14ac:dyDescent="0.25">
      <c r="A44" s="56"/>
      <c r="B44" s="129"/>
      <c r="C44" s="67">
        <f t="shared" si="10"/>
        <v>1.51</v>
      </c>
      <c r="D44" s="68">
        <f t="shared" si="8"/>
        <v>30200000</v>
      </c>
      <c r="E44" s="69">
        <f t="shared" si="1"/>
        <v>21870000</v>
      </c>
      <c r="F44" s="70">
        <f t="shared" si="2"/>
        <v>23650485.436893202</v>
      </c>
      <c r="G44" s="71">
        <f t="shared" si="9"/>
        <v>29570000</v>
      </c>
      <c r="H44" s="72">
        <f t="shared" si="3"/>
        <v>-8330000.0000000019</v>
      </c>
      <c r="I44" s="73">
        <f t="shared" si="4"/>
        <v>-6549514.5631067976</v>
      </c>
      <c r="J44" s="64">
        <f t="shared" si="5"/>
        <v>-630000</v>
      </c>
      <c r="K44" s="74" t="str">
        <f t="shared" si="6"/>
        <v>0. No Hedge</v>
      </c>
      <c r="L44" s="77" t="str">
        <f t="shared" si="7"/>
        <v>3. Option Hedge</v>
      </c>
      <c r="M44" s="9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23" x14ac:dyDescent="0.25">
      <c r="A45" s="56"/>
      <c r="B45" s="130"/>
      <c r="C45" s="78">
        <f t="shared" si="10"/>
        <v>1.52</v>
      </c>
      <c r="D45" s="79">
        <f t="shared" si="8"/>
        <v>30400000</v>
      </c>
      <c r="E45" s="80">
        <f t="shared" si="1"/>
        <v>21870000</v>
      </c>
      <c r="F45" s="81">
        <f t="shared" si="2"/>
        <v>23650485.436893202</v>
      </c>
      <c r="G45" s="82">
        <f t="shared" si="9"/>
        <v>29770000</v>
      </c>
      <c r="H45" s="83">
        <f t="shared" si="3"/>
        <v>-8530000.0000000019</v>
      </c>
      <c r="I45" s="84">
        <f t="shared" si="4"/>
        <v>-6749514.5631067976</v>
      </c>
      <c r="J45" s="64">
        <f t="shared" si="5"/>
        <v>-630000</v>
      </c>
      <c r="K45" s="85" t="str">
        <f t="shared" si="6"/>
        <v>0. No Hedge</v>
      </c>
      <c r="L45" s="86" t="str">
        <f t="shared" si="7"/>
        <v>3. Option Hedge</v>
      </c>
      <c r="M45" s="9" t="s">
        <v>41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23" x14ac:dyDescent="0.15">
      <c r="A46" s="1"/>
      <c r="B46" s="2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23" x14ac:dyDescent="0.15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23" x14ac:dyDescent="0.15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23" x14ac:dyDescent="0.15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23" x14ac:dyDescent="0.15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23" x14ac:dyDescent="0.15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23" x14ac:dyDescent="0.15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23" x14ac:dyDescent="0.15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23" x14ac:dyDescent="0.15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23" x14ac:dyDescent="0.15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23" x14ac:dyDescent="0.15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23" x14ac:dyDescent="0.15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23" x14ac:dyDescent="0.15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23" x14ac:dyDescent="0.15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23" x14ac:dyDescent="0.15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23" x14ac:dyDescent="0.15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23" x14ac:dyDescent="0.15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23" x14ac:dyDescent="0.15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23" x14ac:dyDescent="0.15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23" x14ac:dyDescent="0.15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23" x14ac:dyDescent="0.15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23" x14ac:dyDescent="0.15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23" x14ac:dyDescent="0.15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23" x14ac:dyDescent="0.15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23" x14ac:dyDescent="0.15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23" x14ac:dyDescent="0.15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23" x14ac:dyDescent="0.1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23" x14ac:dyDescent="0.15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23" x14ac:dyDescent="0.15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23" x14ac:dyDescent="0.15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23" x14ac:dyDescent="0.15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23" x14ac:dyDescent="0.15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23" x14ac:dyDescent="0.15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23" x14ac:dyDescent="0.15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23" x14ac:dyDescent="0.15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23" x14ac:dyDescent="0.15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23" x14ac:dyDescent="0.15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23" x14ac:dyDescent="0.15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23" x14ac:dyDescent="0.15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23" x14ac:dyDescent="0.15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23" x14ac:dyDescent="0.15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23" x14ac:dyDescent="0.15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23" x14ac:dyDescent="0.15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ht="23" x14ac:dyDescent="0.15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ht="23" x14ac:dyDescent="0.15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ht="23" x14ac:dyDescent="0.15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ht="23" x14ac:dyDescent="0.15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ht="23" x14ac:dyDescent="0.15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ht="23" x14ac:dyDescent="0.15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ht="23" x14ac:dyDescent="0.15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ht="23" x14ac:dyDescent="0.15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ht="23" x14ac:dyDescent="0.15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ht="23" x14ac:dyDescent="0.15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ht="23" x14ac:dyDescent="0.15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ht="23" x14ac:dyDescent="0.15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ht="23" x14ac:dyDescent="0.15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ht="23" x14ac:dyDescent="0.15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ht="23" x14ac:dyDescent="0.15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ht="23" x14ac:dyDescent="0.15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ht="23" x14ac:dyDescent="0.15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ht="23" x14ac:dyDescent="0.15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ht="23" x14ac:dyDescent="0.15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ht="23" x14ac:dyDescent="0.15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ht="23" x14ac:dyDescent="0.15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ht="23" x14ac:dyDescent="0.15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ht="23" x14ac:dyDescent="0.15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ht="23" x14ac:dyDescent="0.15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ht="23" x14ac:dyDescent="0.15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ht="23" x14ac:dyDescent="0.15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ht="23" x14ac:dyDescent="0.15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ht="23" x14ac:dyDescent="0.15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ht="23" x14ac:dyDescent="0.15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ht="23" x14ac:dyDescent="0.15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ht="23" x14ac:dyDescent="0.15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ht="23" x14ac:dyDescent="0.15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ht="23" x14ac:dyDescent="0.15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ht="23" x14ac:dyDescent="0.15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23" x14ac:dyDescent="0.15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23" x14ac:dyDescent="0.15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23" x14ac:dyDescent="0.1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23" x14ac:dyDescent="0.15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23" x14ac:dyDescent="0.15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23" x14ac:dyDescent="0.15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23" x14ac:dyDescent="0.15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23" x14ac:dyDescent="0.15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23" x14ac:dyDescent="0.15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23" x14ac:dyDescent="0.15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23" x14ac:dyDescent="0.15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23" x14ac:dyDescent="0.15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23" x14ac:dyDescent="0.1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23" x14ac:dyDescent="0.15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23" x14ac:dyDescent="0.15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23" x14ac:dyDescent="0.15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23" x14ac:dyDescent="0.15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23" x14ac:dyDescent="0.15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23" x14ac:dyDescent="0.15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23" x14ac:dyDescent="0.15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23" x14ac:dyDescent="0.15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23" x14ac:dyDescent="0.15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23" x14ac:dyDescent="0.1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23" x14ac:dyDescent="0.15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23" x14ac:dyDescent="0.15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23" x14ac:dyDescent="0.15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23" x14ac:dyDescent="0.15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23" x14ac:dyDescent="0.15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23" x14ac:dyDescent="0.15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23" x14ac:dyDescent="0.15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23" x14ac:dyDescent="0.15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23" x14ac:dyDescent="0.15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23" x14ac:dyDescent="0.15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23" x14ac:dyDescent="0.15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23" x14ac:dyDescent="0.15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23" x14ac:dyDescent="0.15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23" x14ac:dyDescent="0.15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23" x14ac:dyDescent="0.15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23" x14ac:dyDescent="0.15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23" x14ac:dyDescent="0.15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23" x14ac:dyDescent="0.15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23" x14ac:dyDescent="0.15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23" x14ac:dyDescent="0.15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23" x14ac:dyDescent="0.15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23" x14ac:dyDescent="0.15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23" x14ac:dyDescent="0.15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23" x14ac:dyDescent="0.15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23" x14ac:dyDescent="0.15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23" x14ac:dyDescent="0.15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23" x14ac:dyDescent="0.15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23" x14ac:dyDescent="0.15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23" x14ac:dyDescent="0.15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23" x14ac:dyDescent="0.15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23" x14ac:dyDescent="0.15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23" x14ac:dyDescent="0.15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23" x14ac:dyDescent="0.15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23" x14ac:dyDescent="0.15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23" x14ac:dyDescent="0.15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23" x14ac:dyDescent="0.15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23" x14ac:dyDescent="0.15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23" x14ac:dyDescent="0.15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23" x14ac:dyDescent="0.15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23" x14ac:dyDescent="0.15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23" x14ac:dyDescent="0.15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23" x14ac:dyDescent="0.15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23" x14ac:dyDescent="0.15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23" x14ac:dyDescent="0.15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23" x14ac:dyDescent="0.15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23" x14ac:dyDescent="0.15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23" x14ac:dyDescent="0.15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23" x14ac:dyDescent="0.15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23" x14ac:dyDescent="0.15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23" x14ac:dyDescent="0.15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23" x14ac:dyDescent="0.15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23" x14ac:dyDescent="0.15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23" x14ac:dyDescent="0.15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23" x14ac:dyDescent="0.15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23" x14ac:dyDescent="0.15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23" x14ac:dyDescent="0.15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23" x14ac:dyDescent="0.15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23" x14ac:dyDescent="0.15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23" x14ac:dyDescent="0.15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23" x14ac:dyDescent="0.15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23" x14ac:dyDescent="0.15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23" x14ac:dyDescent="0.15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23" x14ac:dyDescent="0.15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23" x14ac:dyDescent="0.15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23" x14ac:dyDescent="0.15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23" x14ac:dyDescent="0.15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23" x14ac:dyDescent="0.15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23" x14ac:dyDescent="0.15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23" x14ac:dyDescent="0.15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23" x14ac:dyDescent="0.15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23" x14ac:dyDescent="0.15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23" x14ac:dyDescent="0.15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23" x14ac:dyDescent="0.15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23" x14ac:dyDescent="0.15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23" x14ac:dyDescent="0.15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23" x14ac:dyDescent="0.15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23" x14ac:dyDescent="0.15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23" x14ac:dyDescent="0.15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23" x14ac:dyDescent="0.15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23" x14ac:dyDescent="0.15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23" x14ac:dyDescent="0.15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23" x14ac:dyDescent="0.15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23" x14ac:dyDescent="0.15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23" x14ac:dyDescent="0.15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23" x14ac:dyDescent="0.15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23" x14ac:dyDescent="0.15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23" x14ac:dyDescent="0.15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23" x14ac:dyDescent="0.15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23" x14ac:dyDescent="0.15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23" x14ac:dyDescent="0.15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23" x14ac:dyDescent="0.15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23" x14ac:dyDescent="0.15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23" x14ac:dyDescent="0.15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23" x14ac:dyDescent="0.15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23" x14ac:dyDescent="0.15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23" x14ac:dyDescent="0.15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23" x14ac:dyDescent="0.15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23" x14ac:dyDescent="0.15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23" x14ac:dyDescent="0.15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23" x14ac:dyDescent="0.15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23" x14ac:dyDescent="0.15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23" x14ac:dyDescent="0.15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23" x14ac:dyDescent="0.15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23" x14ac:dyDescent="0.15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23" x14ac:dyDescent="0.15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23" x14ac:dyDescent="0.15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23" x14ac:dyDescent="0.15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23" x14ac:dyDescent="0.15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23" x14ac:dyDescent="0.15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23" x14ac:dyDescent="0.15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23" x14ac:dyDescent="0.15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23" x14ac:dyDescent="0.15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23" x14ac:dyDescent="0.15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23" x14ac:dyDescent="0.15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23" x14ac:dyDescent="0.15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23" x14ac:dyDescent="0.15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23" x14ac:dyDescent="0.15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23" x14ac:dyDescent="0.15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23" x14ac:dyDescent="0.15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23" x14ac:dyDescent="0.15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23" x14ac:dyDescent="0.15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23" x14ac:dyDescent="0.15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23" x14ac:dyDescent="0.15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23" x14ac:dyDescent="0.15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23" x14ac:dyDescent="0.15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23" x14ac:dyDescent="0.15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23" x14ac:dyDescent="0.15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23" x14ac:dyDescent="0.15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23" x14ac:dyDescent="0.15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23" x14ac:dyDescent="0.15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23" x14ac:dyDescent="0.15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23" x14ac:dyDescent="0.15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23" x14ac:dyDescent="0.15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23" x14ac:dyDescent="0.15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23" x14ac:dyDescent="0.15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23" x14ac:dyDescent="0.15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23" x14ac:dyDescent="0.15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23" x14ac:dyDescent="0.15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23" x14ac:dyDescent="0.15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23" x14ac:dyDescent="0.15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23" x14ac:dyDescent="0.15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23" x14ac:dyDescent="0.15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23" x14ac:dyDescent="0.15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23" x14ac:dyDescent="0.15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23" x14ac:dyDescent="0.15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23" x14ac:dyDescent="0.15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23" x14ac:dyDescent="0.15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23" x14ac:dyDescent="0.15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23" x14ac:dyDescent="0.15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23" x14ac:dyDescent="0.15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23" x14ac:dyDescent="0.15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23" x14ac:dyDescent="0.15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23" x14ac:dyDescent="0.15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23" x14ac:dyDescent="0.15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23" x14ac:dyDescent="0.15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23" x14ac:dyDescent="0.15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23" x14ac:dyDescent="0.15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23" x14ac:dyDescent="0.15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23" x14ac:dyDescent="0.15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23" x14ac:dyDescent="0.15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23" x14ac:dyDescent="0.15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23" x14ac:dyDescent="0.15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23" x14ac:dyDescent="0.15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23" x14ac:dyDescent="0.15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23" x14ac:dyDescent="0.15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23" x14ac:dyDescent="0.15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23" x14ac:dyDescent="0.15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23" x14ac:dyDescent="0.15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23" x14ac:dyDescent="0.15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23" x14ac:dyDescent="0.15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23" x14ac:dyDescent="0.15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23" x14ac:dyDescent="0.15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23" x14ac:dyDescent="0.15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23" x14ac:dyDescent="0.15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23" x14ac:dyDescent="0.15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23" x14ac:dyDescent="0.15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23" x14ac:dyDescent="0.15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23" x14ac:dyDescent="0.15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23" x14ac:dyDescent="0.15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23" x14ac:dyDescent="0.15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23" x14ac:dyDescent="0.15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ht="23" x14ac:dyDescent="0.15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ht="23" x14ac:dyDescent="0.15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ht="23" x14ac:dyDescent="0.15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ht="23" x14ac:dyDescent="0.15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ht="23" x14ac:dyDescent="0.15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ht="23" x14ac:dyDescent="0.15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ht="23" x14ac:dyDescent="0.15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ht="23" x14ac:dyDescent="0.15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ht="23" x14ac:dyDescent="0.15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ht="23" x14ac:dyDescent="0.15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ht="23" x14ac:dyDescent="0.15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ht="23" x14ac:dyDescent="0.15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ht="23" x14ac:dyDescent="0.15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ht="23" x14ac:dyDescent="0.15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ht="23" x14ac:dyDescent="0.15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ht="23" x14ac:dyDescent="0.15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ht="23" x14ac:dyDescent="0.15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ht="23" x14ac:dyDescent="0.15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ht="23" x14ac:dyDescent="0.15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ht="23" x14ac:dyDescent="0.15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ht="23" x14ac:dyDescent="0.15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ht="23" x14ac:dyDescent="0.15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ht="23" x14ac:dyDescent="0.15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ht="23" x14ac:dyDescent="0.15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ht="23" x14ac:dyDescent="0.15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ht="23" x14ac:dyDescent="0.15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ht="23" x14ac:dyDescent="0.15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ht="23" x14ac:dyDescent="0.15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ht="23" x14ac:dyDescent="0.15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ht="23" x14ac:dyDescent="0.15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ht="23" x14ac:dyDescent="0.15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ht="23" x14ac:dyDescent="0.15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ht="23" x14ac:dyDescent="0.15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ht="23" x14ac:dyDescent="0.15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ht="23" x14ac:dyDescent="0.15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ht="23" x14ac:dyDescent="0.15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ht="23" x14ac:dyDescent="0.15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ht="23" x14ac:dyDescent="0.15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ht="23" x14ac:dyDescent="0.15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ht="23" x14ac:dyDescent="0.15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ht="23" x14ac:dyDescent="0.15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ht="23" x14ac:dyDescent="0.15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ht="23" x14ac:dyDescent="0.15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ht="23" x14ac:dyDescent="0.15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ht="23" x14ac:dyDescent="0.15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ht="23" x14ac:dyDescent="0.15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ht="23" x14ac:dyDescent="0.15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ht="23" x14ac:dyDescent="0.15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ht="23" x14ac:dyDescent="0.15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ht="23" x14ac:dyDescent="0.15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ht="23" x14ac:dyDescent="0.15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ht="23" x14ac:dyDescent="0.15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ht="23" x14ac:dyDescent="0.15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ht="23" x14ac:dyDescent="0.15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ht="23" x14ac:dyDescent="0.15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ht="23" x14ac:dyDescent="0.15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ht="23" x14ac:dyDescent="0.15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ht="23" x14ac:dyDescent="0.15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ht="23" x14ac:dyDescent="0.15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ht="23" x14ac:dyDescent="0.15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ht="23" x14ac:dyDescent="0.15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ht="23" x14ac:dyDescent="0.15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ht="23" x14ac:dyDescent="0.15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ht="23" x14ac:dyDescent="0.15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ht="23" x14ac:dyDescent="0.15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ht="23" x14ac:dyDescent="0.15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ht="23" x14ac:dyDescent="0.15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ht="23" x14ac:dyDescent="0.15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ht="23" x14ac:dyDescent="0.15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ht="23" x14ac:dyDescent="0.15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ht="23" x14ac:dyDescent="0.15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ht="23" x14ac:dyDescent="0.15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ht="23" x14ac:dyDescent="0.15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ht="23" x14ac:dyDescent="0.15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ht="23" x14ac:dyDescent="0.15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ht="23" x14ac:dyDescent="0.15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ht="23" x14ac:dyDescent="0.15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 ht="23" x14ac:dyDescent="0.15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 ht="23" x14ac:dyDescent="0.15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ht="23" x14ac:dyDescent="0.15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ht="23" x14ac:dyDescent="0.15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 ht="23" x14ac:dyDescent="0.15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 ht="23" x14ac:dyDescent="0.15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 ht="23" x14ac:dyDescent="0.15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ht="23" x14ac:dyDescent="0.15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ht="23" x14ac:dyDescent="0.15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ht="23" x14ac:dyDescent="0.15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ht="23" x14ac:dyDescent="0.15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ht="23" x14ac:dyDescent="0.15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ht="23" x14ac:dyDescent="0.15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 ht="23" x14ac:dyDescent="0.15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 ht="23" x14ac:dyDescent="0.15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ht="23" x14ac:dyDescent="0.15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ht="23" x14ac:dyDescent="0.15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 ht="23" x14ac:dyDescent="0.15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ht="23" x14ac:dyDescent="0.15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 ht="23" x14ac:dyDescent="0.15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 ht="23" x14ac:dyDescent="0.15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ht="23" x14ac:dyDescent="0.15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 ht="23" x14ac:dyDescent="0.15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ht="23" x14ac:dyDescent="0.15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ht="23" x14ac:dyDescent="0.15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ht="23" x14ac:dyDescent="0.15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 ht="23" x14ac:dyDescent="0.15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ht="23" x14ac:dyDescent="0.15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 ht="23" x14ac:dyDescent="0.15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ht="23" x14ac:dyDescent="0.15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 ht="23" x14ac:dyDescent="0.15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 ht="23" x14ac:dyDescent="0.15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ht="23" x14ac:dyDescent="0.15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ht="23" x14ac:dyDescent="0.15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 ht="23" x14ac:dyDescent="0.15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 ht="23" x14ac:dyDescent="0.15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ht="23" x14ac:dyDescent="0.15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ht="23" x14ac:dyDescent="0.15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 ht="23" x14ac:dyDescent="0.15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 ht="23" x14ac:dyDescent="0.15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ht="23" x14ac:dyDescent="0.15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 ht="23" x14ac:dyDescent="0.15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 ht="23" x14ac:dyDescent="0.15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 ht="23" x14ac:dyDescent="0.15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 ht="23" x14ac:dyDescent="0.15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1:30" ht="23" x14ac:dyDescent="0.15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1:30" ht="23" x14ac:dyDescent="0.15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1:30" ht="23" x14ac:dyDescent="0.15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 ht="23" x14ac:dyDescent="0.15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1:30" ht="23" x14ac:dyDescent="0.15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 ht="23" x14ac:dyDescent="0.15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1:30" ht="23" x14ac:dyDescent="0.15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1:30" ht="23" x14ac:dyDescent="0.15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1:30" ht="23" x14ac:dyDescent="0.15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 ht="23" x14ac:dyDescent="0.15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 ht="23" x14ac:dyDescent="0.15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 ht="23" x14ac:dyDescent="0.15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ht="23" x14ac:dyDescent="0.15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ht="23" x14ac:dyDescent="0.15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 ht="23" x14ac:dyDescent="0.15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1:30" ht="23" x14ac:dyDescent="0.15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ht="23" x14ac:dyDescent="0.15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 ht="23" x14ac:dyDescent="0.15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ht="23" x14ac:dyDescent="0.15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 ht="23" x14ac:dyDescent="0.15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ht="23" x14ac:dyDescent="0.15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1:30" ht="23" x14ac:dyDescent="0.15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ht="23" x14ac:dyDescent="0.15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 ht="23" x14ac:dyDescent="0.15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 ht="23" x14ac:dyDescent="0.15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1:30" ht="23" x14ac:dyDescent="0.15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ht="23" x14ac:dyDescent="0.15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 ht="23" x14ac:dyDescent="0.15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 ht="23" x14ac:dyDescent="0.15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 ht="23" x14ac:dyDescent="0.15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ht="23" x14ac:dyDescent="0.15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1:30" ht="23" x14ac:dyDescent="0.15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ht="23" x14ac:dyDescent="0.15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 ht="23" x14ac:dyDescent="0.15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ht="23" x14ac:dyDescent="0.15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1:30" ht="23" x14ac:dyDescent="0.15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ht="23" x14ac:dyDescent="0.15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ht="23" x14ac:dyDescent="0.15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 ht="23" x14ac:dyDescent="0.15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ht="23" x14ac:dyDescent="0.15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ht="23" x14ac:dyDescent="0.15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 ht="23" x14ac:dyDescent="0.15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 ht="23" x14ac:dyDescent="0.15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ht="23" x14ac:dyDescent="0.15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ht="23" x14ac:dyDescent="0.15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 ht="23" x14ac:dyDescent="0.15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ht="23" x14ac:dyDescent="0.15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 ht="23" x14ac:dyDescent="0.15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 ht="23" x14ac:dyDescent="0.15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 ht="23" x14ac:dyDescent="0.15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 ht="23" x14ac:dyDescent="0.15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ht="23" x14ac:dyDescent="0.15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spans="1:30" ht="23" x14ac:dyDescent="0.15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spans="1:30" ht="23" x14ac:dyDescent="0.15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spans="1:30" ht="23" x14ac:dyDescent="0.15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spans="1:30" ht="23" x14ac:dyDescent="0.15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spans="1:30" ht="23" x14ac:dyDescent="0.15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spans="1:30" ht="23" x14ac:dyDescent="0.15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spans="1:30" ht="23" x14ac:dyDescent="0.15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spans="1:30" ht="23" x14ac:dyDescent="0.15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spans="1:30" ht="23" x14ac:dyDescent="0.15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spans="1:30" ht="23" x14ac:dyDescent="0.15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spans="1:30" ht="23" x14ac:dyDescent="0.15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spans="1:30" ht="23" x14ac:dyDescent="0.15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spans="1:30" ht="23" x14ac:dyDescent="0.15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spans="1:30" ht="23" x14ac:dyDescent="0.15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spans="1:30" ht="23" x14ac:dyDescent="0.15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spans="1:30" ht="23" x14ac:dyDescent="0.15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spans="1:30" ht="23" x14ac:dyDescent="0.15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spans="1:30" ht="23" x14ac:dyDescent="0.15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spans="1:30" ht="23" x14ac:dyDescent="0.15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spans="1:30" ht="23" x14ac:dyDescent="0.15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spans="1:30" ht="23" x14ac:dyDescent="0.15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spans="1:30" ht="23" x14ac:dyDescent="0.15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spans="1:30" ht="23" x14ac:dyDescent="0.15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spans="1:30" ht="23" x14ac:dyDescent="0.15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spans="1:30" ht="23" x14ac:dyDescent="0.15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spans="1:30" ht="23" x14ac:dyDescent="0.15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spans="1:30" ht="23" x14ac:dyDescent="0.15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spans="1:30" ht="23" x14ac:dyDescent="0.15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spans="1:30" ht="23" x14ac:dyDescent="0.15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spans="1:30" ht="23" x14ac:dyDescent="0.15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spans="1:30" ht="23" x14ac:dyDescent="0.15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spans="1:30" ht="23" x14ac:dyDescent="0.15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spans="1:30" ht="23" x14ac:dyDescent="0.15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spans="1:30" ht="23" x14ac:dyDescent="0.15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spans="1:30" ht="23" x14ac:dyDescent="0.15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spans="1:30" ht="23" x14ac:dyDescent="0.15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spans="1:30" ht="23" x14ac:dyDescent="0.15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spans="1:30" ht="23" x14ac:dyDescent="0.15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spans="1:30" ht="23" x14ac:dyDescent="0.15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spans="1:30" ht="23" x14ac:dyDescent="0.15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spans="1:30" ht="23" x14ac:dyDescent="0.15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spans="1:30" ht="23" x14ac:dyDescent="0.15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spans="1:30" ht="23" x14ac:dyDescent="0.15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spans="1:30" ht="23" x14ac:dyDescent="0.15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spans="1:30" ht="23" x14ac:dyDescent="0.15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spans="1:30" ht="23" x14ac:dyDescent="0.15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spans="1:30" ht="23" x14ac:dyDescent="0.15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spans="1:30" ht="23" x14ac:dyDescent="0.15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spans="1:30" ht="23" x14ac:dyDescent="0.15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spans="1:30" ht="23" x14ac:dyDescent="0.15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spans="1:30" ht="23" x14ac:dyDescent="0.15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spans="1:30" ht="23" x14ac:dyDescent="0.15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spans="1:30" ht="23" x14ac:dyDescent="0.15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spans="1:30" ht="23" x14ac:dyDescent="0.15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spans="1:30" ht="23" x14ac:dyDescent="0.15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spans="1:30" ht="23" x14ac:dyDescent="0.15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spans="1:30" ht="23" x14ac:dyDescent="0.15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spans="1:30" ht="23" x14ac:dyDescent="0.15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spans="1:30" ht="23" x14ac:dyDescent="0.15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spans="1:30" ht="23" x14ac:dyDescent="0.15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spans="1:30" ht="23" x14ac:dyDescent="0.15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spans="1:30" ht="23" x14ac:dyDescent="0.15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spans="1:30" ht="23" x14ac:dyDescent="0.15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spans="1:30" ht="23" x14ac:dyDescent="0.15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spans="1:30" ht="23" x14ac:dyDescent="0.15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spans="1:30" ht="23" x14ac:dyDescent="0.15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spans="1:30" ht="23" x14ac:dyDescent="0.15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spans="1:30" ht="23" x14ac:dyDescent="0.15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spans="1:30" ht="23" x14ac:dyDescent="0.15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spans="1:30" ht="23" x14ac:dyDescent="0.15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spans="1:30" ht="23" x14ac:dyDescent="0.15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spans="1:30" ht="23" x14ac:dyDescent="0.15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spans="1:30" ht="23" x14ac:dyDescent="0.15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spans="1:30" ht="23" x14ac:dyDescent="0.15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spans="1:30" ht="23" x14ac:dyDescent="0.15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spans="1:30" ht="23" x14ac:dyDescent="0.15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spans="1:30" ht="23" x14ac:dyDescent="0.15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spans="1:30" ht="23" x14ac:dyDescent="0.15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spans="1:30" ht="23" x14ac:dyDescent="0.15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spans="1:30" ht="23" x14ac:dyDescent="0.15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spans="1:30" ht="23" x14ac:dyDescent="0.15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spans="1:30" ht="23" x14ac:dyDescent="0.15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spans="1:30" ht="23" x14ac:dyDescent="0.15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spans="1:30" ht="23" x14ac:dyDescent="0.15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spans="1:30" ht="23" x14ac:dyDescent="0.15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spans="1:30" ht="23" x14ac:dyDescent="0.15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spans="1:30" ht="23" x14ac:dyDescent="0.15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spans="1:30" ht="23" x14ac:dyDescent="0.15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spans="1:30" ht="23" x14ac:dyDescent="0.15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spans="1:30" ht="23" x14ac:dyDescent="0.15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spans="1:30" ht="23" x14ac:dyDescent="0.15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spans="1:30" ht="23" x14ac:dyDescent="0.15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spans="1:30" ht="23" x14ac:dyDescent="0.15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spans="1:30" ht="23" x14ac:dyDescent="0.15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spans="1:30" ht="23" x14ac:dyDescent="0.15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spans="1:30" ht="23" x14ac:dyDescent="0.15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spans="1:30" ht="23" x14ac:dyDescent="0.15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spans="1:30" ht="23" x14ac:dyDescent="0.15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spans="1:30" ht="23" x14ac:dyDescent="0.15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spans="1:30" ht="23" x14ac:dyDescent="0.15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spans="1:30" ht="23" x14ac:dyDescent="0.15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spans="1:30" ht="23" x14ac:dyDescent="0.15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spans="1:30" ht="23" x14ac:dyDescent="0.15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spans="1:30" ht="23" x14ac:dyDescent="0.15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spans="1:30" ht="23" x14ac:dyDescent="0.15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spans="1:30" ht="23" x14ac:dyDescent="0.15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spans="1:30" ht="23" x14ac:dyDescent="0.15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spans="1:30" ht="23" x14ac:dyDescent="0.15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spans="1:30" ht="23" x14ac:dyDescent="0.15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spans="1:30" ht="23" x14ac:dyDescent="0.15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spans="1:30" ht="23" x14ac:dyDescent="0.15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spans="1:30" ht="23" x14ac:dyDescent="0.15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spans="1:30" ht="23" x14ac:dyDescent="0.15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spans="1:30" ht="23" x14ac:dyDescent="0.15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spans="1:30" ht="23" x14ac:dyDescent="0.15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spans="1:30" ht="23" x14ac:dyDescent="0.15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spans="1:30" ht="23" x14ac:dyDescent="0.15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spans="1:30" ht="23" x14ac:dyDescent="0.15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spans="1:30" ht="23" x14ac:dyDescent="0.15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spans="1:30" ht="23" x14ac:dyDescent="0.15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spans="1:30" ht="23" x14ac:dyDescent="0.15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spans="1:30" ht="23" x14ac:dyDescent="0.15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spans="1:30" ht="23" x14ac:dyDescent="0.15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spans="1:30" ht="23" x14ac:dyDescent="0.15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spans="1:30" ht="23" x14ac:dyDescent="0.15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spans="1:30" ht="23" x14ac:dyDescent="0.15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spans="1:30" ht="23" x14ac:dyDescent="0.15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spans="1:30" ht="23" x14ac:dyDescent="0.15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spans="1:30" ht="23" x14ac:dyDescent="0.15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spans="1:30" ht="23" x14ac:dyDescent="0.15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spans="1:30" ht="23" x14ac:dyDescent="0.15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spans="1:30" ht="23" x14ac:dyDescent="0.15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spans="1:30" ht="23" x14ac:dyDescent="0.15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spans="1:30" ht="23" x14ac:dyDescent="0.15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spans="1:30" ht="23" x14ac:dyDescent="0.15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spans="1:30" ht="23" x14ac:dyDescent="0.15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spans="1:30" ht="23" x14ac:dyDescent="0.15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spans="1:30" ht="23" x14ac:dyDescent="0.15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spans="1:30" ht="23" x14ac:dyDescent="0.15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spans="1:30" ht="23" x14ac:dyDescent="0.15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spans="1:30" ht="23" x14ac:dyDescent="0.15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spans="1:30" ht="23" x14ac:dyDescent="0.15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spans="1:30" ht="23" x14ac:dyDescent="0.15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spans="1:30" ht="23" x14ac:dyDescent="0.15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spans="1:30" ht="23" x14ac:dyDescent="0.15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spans="1:30" ht="23" x14ac:dyDescent="0.15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spans="1:30" ht="23" x14ac:dyDescent="0.15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spans="1:30" ht="23" x14ac:dyDescent="0.15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spans="1:30" ht="23" x14ac:dyDescent="0.15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spans="1:30" ht="23" x14ac:dyDescent="0.15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spans="1:30" ht="23" x14ac:dyDescent="0.15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spans="1:30" ht="23" x14ac:dyDescent="0.15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spans="1:30" ht="23" x14ac:dyDescent="0.15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spans="1:30" ht="23" x14ac:dyDescent="0.15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spans="1:30" ht="23" x14ac:dyDescent="0.15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spans="1:30" ht="23" x14ac:dyDescent="0.15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spans="1:30" ht="23" x14ac:dyDescent="0.15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spans="1:30" ht="23" x14ac:dyDescent="0.15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spans="1:30" ht="23" x14ac:dyDescent="0.15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spans="1:30" ht="23" x14ac:dyDescent="0.15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spans="1:30" ht="23" x14ac:dyDescent="0.15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spans="1:30" ht="23" x14ac:dyDescent="0.15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spans="1:30" ht="23" x14ac:dyDescent="0.15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spans="1:30" ht="23" x14ac:dyDescent="0.15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spans="1:30" ht="23" x14ac:dyDescent="0.15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spans="1:30" ht="23" x14ac:dyDescent="0.15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spans="1:30" ht="23" x14ac:dyDescent="0.15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spans="1:30" ht="23" x14ac:dyDescent="0.15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spans="1:30" ht="23" x14ac:dyDescent="0.15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spans="1:30" ht="23" x14ac:dyDescent="0.15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spans="1:30" ht="23" x14ac:dyDescent="0.15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spans="1:30" ht="23" x14ac:dyDescent="0.15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spans="1:30" ht="23" x14ac:dyDescent="0.15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spans="1:30" ht="23" x14ac:dyDescent="0.15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spans="1:30" ht="23" x14ac:dyDescent="0.15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spans="1:30" ht="23" x14ac:dyDescent="0.15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spans="1:30" ht="23" x14ac:dyDescent="0.15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spans="1:30" ht="23" x14ac:dyDescent="0.15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spans="1:30" ht="23" x14ac:dyDescent="0.15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spans="1:30" ht="23" x14ac:dyDescent="0.15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spans="1:30" ht="23" x14ac:dyDescent="0.15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spans="1:30" ht="23" x14ac:dyDescent="0.15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spans="1:30" ht="23" x14ac:dyDescent="0.15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spans="1:30" ht="23" x14ac:dyDescent="0.15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spans="1:30" ht="23" x14ac:dyDescent="0.15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spans="1:30" ht="23" x14ac:dyDescent="0.15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spans="1:30" ht="23" x14ac:dyDescent="0.15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spans="1:30" ht="23" x14ac:dyDescent="0.15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spans="1:30" ht="23" x14ac:dyDescent="0.15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spans="1:30" ht="23" x14ac:dyDescent="0.15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spans="1:30" ht="23" x14ac:dyDescent="0.15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spans="1:30" ht="23" x14ac:dyDescent="0.15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spans="1:30" ht="23" x14ac:dyDescent="0.15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spans="1:30" ht="23" x14ac:dyDescent="0.15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spans="1:30" ht="23" x14ac:dyDescent="0.15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spans="1:30" ht="23" x14ac:dyDescent="0.15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spans="1:30" ht="23" x14ac:dyDescent="0.15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spans="1:30" ht="23" x14ac:dyDescent="0.15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spans="1:30" ht="23" x14ac:dyDescent="0.15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spans="1:30" ht="23" x14ac:dyDescent="0.15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spans="1:30" ht="23" x14ac:dyDescent="0.15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spans="1:30" ht="23" x14ac:dyDescent="0.15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spans="1:30" ht="23" x14ac:dyDescent="0.15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spans="1:30" ht="23" x14ac:dyDescent="0.15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spans="1:30" ht="23" x14ac:dyDescent="0.15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spans="1:30" ht="23" x14ac:dyDescent="0.15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spans="1:30" ht="23" x14ac:dyDescent="0.15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spans="1:30" ht="23" x14ac:dyDescent="0.15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spans="1:30" ht="23" x14ac:dyDescent="0.15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spans="1:30" ht="23" x14ac:dyDescent="0.15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spans="1:30" ht="23" x14ac:dyDescent="0.15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spans="1:30" ht="23" x14ac:dyDescent="0.15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spans="1:30" ht="23" x14ac:dyDescent="0.15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spans="1:30" ht="23" x14ac:dyDescent="0.15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spans="1:30" ht="23" x14ac:dyDescent="0.15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spans="1:30" ht="23" x14ac:dyDescent="0.15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spans="1:30" ht="23" x14ac:dyDescent="0.15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spans="1:30" ht="23" x14ac:dyDescent="0.15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spans="1:30" ht="23" x14ac:dyDescent="0.15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spans="1:30" ht="23" x14ac:dyDescent="0.15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spans="1:30" ht="23" x14ac:dyDescent="0.15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spans="1:30" ht="23" x14ac:dyDescent="0.15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spans="1:30" ht="23" x14ac:dyDescent="0.15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spans="1:30" ht="23" x14ac:dyDescent="0.15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spans="1:30" ht="23" x14ac:dyDescent="0.15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spans="1:30" ht="23" x14ac:dyDescent="0.15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spans="1:30" ht="23" x14ac:dyDescent="0.15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spans="1:30" ht="23" x14ac:dyDescent="0.15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spans="1:30" ht="23" x14ac:dyDescent="0.15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spans="1:30" ht="23" x14ac:dyDescent="0.15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spans="1:30" ht="23" x14ac:dyDescent="0.15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spans="1:30" ht="23" x14ac:dyDescent="0.15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spans="1:30" ht="23" x14ac:dyDescent="0.15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spans="1:30" ht="23" x14ac:dyDescent="0.15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spans="1:30" ht="23" x14ac:dyDescent="0.15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spans="1:30" ht="23" x14ac:dyDescent="0.15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spans="1:30" ht="23" x14ac:dyDescent="0.15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spans="1:30" ht="23" x14ac:dyDescent="0.15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spans="1:30" ht="23" x14ac:dyDescent="0.15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spans="1:30" ht="23" x14ac:dyDescent="0.15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spans="1:30" ht="23" x14ac:dyDescent="0.15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spans="1:30" ht="23" x14ac:dyDescent="0.15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spans="1:30" ht="23" x14ac:dyDescent="0.15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spans="1:30" ht="23" x14ac:dyDescent="0.15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spans="1:30" ht="23" x14ac:dyDescent="0.15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spans="1:30" ht="23" x14ac:dyDescent="0.15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spans="1:30" ht="23" x14ac:dyDescent="0.15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spans="1:30" ht="23" x14ac:dyDescent="0.15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spans="1:30" ht="23" x14ac:dyDescent="0.15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spans="1:30" ht="23" x14ac:dyDescent="0.15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spans="1:30" ht="23" x14ac:dyDescent="0.15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spans="1:30" ht="23" x14ac:dyDescent="0.15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spans="1:30" ht="23" x14ac:dyDescent="0.15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spans="1:30" ht="23" x14ac:dyDescent="0.15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spans="1:30" ht="23" x14ac:dyDescent="0.15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spans="1:30" ht="23" x14ac:dyDescent="0.15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spans="1:30" ht="23" x14ac:dyDescent="0.15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spans="1:30" ht="23" x14ac:dyDescent="0.15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spans="1:30" ht="23" x14ac:dyDescent="0.15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spans="1:30" ht="23" x14ac:dyDescent="0.15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spans="1:30" ht="23" x14ac:dyDescent="0.15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spans="1:30" ht="23" x14ac:dyDescent="0.15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spans="1:30" ht="23" x14ac:dyDescent="0.15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spans="1:30" ht="23" x14ac:dyDescent="0.15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spans="1:30" ht="23" x14ac:dyDescent="0.15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spans="1:30" ht="23" x14ac:dyDescent="0.15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spans="1:30" ht="23" x14ac:dyDescent="0.15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spans="1:30" ht="23" x14ac:dyDescent="0.15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spans="1:30" ht="23" x14ac:dyDescent="0.15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spans="1:30" ht="23" x14ac:dyDescent="0.15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spans="1:30" ht="23" x14ac:dyDescent="0.15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spans="1:30" ht="23" x14ac:dyDescent="0.15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spans="1:30" ht="23" x14ac:dyDescent="0.15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spans="1:30" ht="23" x14ac:dyDescent="0.15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spans="1:30" ht="23" x14ac:dyDescent="0.15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spans="1:30" ht="23" x14ac:dyDescent="0.15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spans="1:30" ht="23" x14ac:dyDescent="0.15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spans="1:30" ht="23" x14ac:dyDescent="0.15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spans="1:30" ht="23" x14ac:dyDescent="0.15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spans="1:30" ht="23" x14ac:dyDescent="0.15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spans="1:30" ht="23" x14ac:dyDescent="0.15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spans="1:30" ht="23" x14ac:dyDescent="0.15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spans="1:30" ht="23" x14ac:dyDescent="0.15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spans="1:30" ht="23" x14ac:dyDescent="0.15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spans="1:30" ht="23" x14ac:dyDescent="0.15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spans="1:30" ht="23" x14ac:dyDescent="0.15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spans="1:30" ht="23" x14ac:dyDescent="0.15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spans="1:30" ht="23" x14ac:dyDescent="0.15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spans="1:30" ht="23" x14ac:dyDescent="0.15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spans="1:30" ht="23" x14ac:dyDescent="0.15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spans="1:30" ht="23" x14ac:dyDescent="0.15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spans="1:30" ht="23" x14ac:dyDescent="0.15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spans="1:30" ht="23" x14ac:dyDescent="0.15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spans="1:30" ht="23" x14ac:dyDescent="0.15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spans="1:30" ht="23" x14ac:dyDescent="0.15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spans="1:30" ht="23" x14ac:dyDescent="0.15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spans="1:30" ht="23" x14ac:dyDescent="0.15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spans="1:30" ht="23" x14ac:dyDescent="0.15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spans="1:30" ht="23" x14ac:dyDescent="0.15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spans="1:30" ht="23" x14ac:dyDescent="0.15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spans="1:30" ht="23" x14ac:dyDescent="0.15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spans="1:30" ht="23" x14ac:dyDescent="0.15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spans="1:30" ht="23" x14ac:dyDescent="0.15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spans="1:30" ht="23" x14ac:dyDescent="0.15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spans="1:30" ht="23" x14ac:dyDescent="0.15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spans="1:30" ht="23" x14ac:dyDescent="0.15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spans="1:30" ht="23" x14ac:dyDescent="0.15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spans="1:30" ht="23" x14ac:dyDescent="0.15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spans="1:30" ht="23" x14ac:dyDescent="0.15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spans="1:30" ht="23" x14ac:dyDescent="0.15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spans="1:30" ht="23" x14ac:dyDescent="0.15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spans="1:30" ht="23" x14ac:dyDescent="0.15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spans="1:30" ht="23" x14ac:dyDescent="0.15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spans="1:30" ht="23" x14ac:dyDescent="0.15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spans="1:30" ht="23" x14ac:dyDescent="0.15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spans="1:30" ht="23" x14ac:dyDescent="0.15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spans="1:30" ht="23" x14ac:dyDescent="0.15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spans="1:30" ht="23" x14ac:dyDescent="0.15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spans="1:30" ht="23" x14ac:dyDescent="0.15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spans="1:30" ht="23" x14ac:dyDescent="0.15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spans="1:30" ht="23" x14ac:dyDescent="0.15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spans="1:30" ht="23" x14ac:dyDescent="0.15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spans="1:30" ht="23" x14ac:dyDescent="0.15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spans="1:30" ht="23" x14ac:dyDescent="0.15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spans="1:30" ht="23" x14ac:dyDescent="0.15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spans="1:30" ht="23" x14ac:dyDescent="0.15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spans="1:30" ht="23" x14ac:dyDescent="0.15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spans="1:30" ht="23" x14ac:dyDescent="0.15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spans="1:30" ht="23" x14ac:dyDescent="0.15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spans="1:30" ht="23" x14ac:dyDescent="0.15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spans="1:30" ht="23" x14ac:dyDescent="0.15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spans="1:30" ht="23" x14ac:dyDescent="0.15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spans="1:30" ht="23" x14ac:dyDescent="0.15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spans="1:30" ht="23" x14ac:dyDescent="0.15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spans="1:30" ht="23" x14ac:dyDescent="0.15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spans="1:30" ht="23" x14ac:dyDescent="0.15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spans="1:30" ht="23" x14ac:dyDescent="0.15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spans="1:30" ht="23" x14ac:dyDescent="0.15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spans="1:30" ht="23" x14ac:dyDescent="0.15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spans="1:30" ht="23" x14ac:dyDescent="0.15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spans="1:30" ht="23" x14ac:dyDescent="0.15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spans="1:30" ht="23" x14ac:dyDescent="0.15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spans="1:30" ht="23" x14ac:dyDescent="0.15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spans="1:30" ht="23" x14ac:dyDescent="0.15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spans="1:30" ht="23" x14ac:dyDescent="0.15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spans="1:30" ht="23" x14ac:dyDescent="0.15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spans="1:30" ht="23" x14ac:dyDescent="0.15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spans="1:30" ht="23" x14ac:dyDescent="0.15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spans="1:30" ht="23" x14ac:dyDescent="0.15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spans="1:30" ht="23" x14ac:dyDescent="0.15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spans="1:30" ht="23" x14ac:dyDescent="0.15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spans="1:30" ht="23" x14ac:dyDescent="0.15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spans="1:30" ht="23" x14ac:dyDescent="0.15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spans="1:30" ht="23" x14ac:dyDescent="0.15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spans="1:30" ht="23" x14ac:dyDescent="0.15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spans="1:30" ht="23" x14ac:dyDescent="0.15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spans="1:30" ht="23" x14ac:dyDescent="0.15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spans="1:30" ht="23" x14ac:dyDescent="0.15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spans="1:30" ht="23" x14ac:dyDescent="0.15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spans="1:30" ht="23" x14ac:dyDescent="0.15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spans="1:30" ht="23" x14ac:dyDescent="0.15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spans="1:30" ht="23" x14ac:dyDescent="0.15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spans="1:30" ht="23" x14ac:dyDescent="0.15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spans="1:30" ht="23" x14ac:dyDescent="0.15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spans="1:30" ht="23" x14ac:dyDescent="0.15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spans="1:30" ht="23" x14ac:dyDescent="0.15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spans="1:30" ht="23" x14ac:dyDescent="0.15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spans="1:30" ht="23" x14ac:dyDescent="0.15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spans="1:30" ht="23" x14ac:dyDescent="0.15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spans="1:30" ht="23" x14ac:dyDescent="0.15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spans="1:30" ht="23" x14ac:dyDescent="0.15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spans="1:30" ht="23" x14ac:dyDescent="0.15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spans="1:30" ht="23" x14ac:dyDescent="0.15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spans="1:30" ht="23" x14ac:dyDescent="0.15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spans="1:30" ht="23" x14ac:dyDescent="0.15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spans="1:30" ht="23" x14ac:dyDescent="0.15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spans="1:30" ht="23" x14ac:dyDescent="0.15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spans="1:30" ht="23" x14ac:dyDescent="0.15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spans="1:30" ht="23" x14ac:dyDescent="0.15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spans="1:30" ht="23" x14ac:dyDescent="0.15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spans="1:30" ht="23" x14ac:dyDescent="0.15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spans="1:30" ht="23" x14ac:dyDescent="0.15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spans="1:30" ht="23" x14ac:dyDescent="0.15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spans="1:30" ht="23" x14ac:dyDescent="0.15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spans="1:30" ht="23" x14ac:dyDescent="0.15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spans="1:30" ht="23" x14ac:dyDescent="0.15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spans="1:30" ht="23" x14ac:dyDescent="0.15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spans="1:30" ht="23" x14ac:dyDescent="0.15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spans="1:30" ht="23" x14ac:dyDescent="0.15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spans="1:30" ht="23" x14ac:dyDescent="0.15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spans="1:30" ht="23" x14ac:dyDescent="0.15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spans="1:30" ht="23" x14ac:dyDescent="0.15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spans="1:30" ht="23" x14ac:dyDescent="0.15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spans="1:30" ht="23" x14ac:dyDescent="0.15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spans="1:30" ht="23" x14ac:dyDescent="0.15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spans="1:30" ht="23" x14ac:dyDescent="0.15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spans="1:30" ht="23" x14ac:dyDescent="0.15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spans="1:30" ht="23" x14ac:dyDescent="0.15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spans="1:30" ht="23" x14ac:dyDescent="0.15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spans="1:30" ht="23" x14ac:dyDescent="0.15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spans="1:30" ht="23" x14ac:dyDescent="0.15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spans="1:30" ht="23" x14ac:dyDescent="0.15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spans="1:30" ht="23" x14ac:dyDescent="0.15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spans="1:30" ht="23" x14ac:dyDescent="0.15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spans="1:30" ht="23" x14ac:dyDescent="0.15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spans="1:30" ht="23" x14ac:dyDescent="0.15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spans="1:30" ht="23" x14ac:dyDescent="0.15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spans="1:30" ht="23" x14ac:dyDescent="0.15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spans="1:30" ht="23" x14ac:dyDescent="0.15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spans="1:30" ht="23" x14ac:dyDescent="0.15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spans="1:30" ht="23" x14ac:dyDescent="0.15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spans="1:30" ht="23" x14ac:dyDescent="0.15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spans="1:30" ht="23" x14ac:dyDescent="0.15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spans="1:30" ht="23" x14ac:dyDescent="0.15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spans="1:30" ht="23" x14ac:dyDescent="0.15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spans="1:30" ht="23" x14ac:dyDescent="0.15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spans="1:30" ht="23" x14ac:dyDescent="0.15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spans="1:30" ht="23" x14ac:dyDescent="0.15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spans="1:30" ht="23" x14ac:dyDescent="0.15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spans="1:30" ht="23" x14ac:dyDescent="0.15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spans="1:30" ht="23" x14ac:dyDescent="0.15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spans="1:30" ht="23" x14ac:dyDescent="0.15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spans="1:30" ht="23" x14ac:dyDescent="0.15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spans="1:30" ht="23" x14ac:dyDescent="0.15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spans="1:30" ht="23" x14ac:dyDescent="0.15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spans="1:30" ht="23" x14ac:dyDescent="0.15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spans="1:30" ht="23" x14ac:dyDescent="0.15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spans="1:30" ht="23" x14ac:dyDescent="0.15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spans="1:30" ht="23" x14ac:dyDescent="0.15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spans="1:30" ht="23" x14ac:dyDescent="0.15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spans="1:30" ht="23" x14ac:dyDescent="0.15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spans="1:30" ht="23" x14ac:dyDescent="0.15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spans="1:30" ht="23" x14ac:dyDescent="0.15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spans="1:30" ht="23" x14ac:dyDescent="0.15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spans="1:30" ht="23" x14ac:dyDescent="0.15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spans="1:30" ht="23" x14ac:dyDescent="0.15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spans="1:30" ht="23" x14ac:dyDescent="0.15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spans="1:30" ht="23" x14ac:dyDescent="0.15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spans="1:30" ht="23" x14ac:dyDescent="0.15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spans="1:30" ht="23" x14ac:dyDescent="0.15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spans="1:30" ht="23" x14ac:dyDescent="0.15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spans="1:30" ht="23" x14ac:dyDescent="0.15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spans="1:30" ht="23" x14ac:dyDescent="0.15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spans="1:30" ht="23" x14ac:dyDescent="0.15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spans="1:30" ht="23" x14ac:dyDescent="0.15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spans="1:30" ht="23" x14ac:dyDescent="0.15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spans="1:30" ht="23" x14ac:dyDescent="0.15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spans="1:30" ht="23" x14ac:dyDescent="0.15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spans="1:30" ht="23" x14ac:dyDescent="0.15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spans="1:30" ht="23" x14ac:dyDescent="0.15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spans="1:30" ht="23" x14ac:dyDescent="0.15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spans="1:30" ht="23" x14ac:dyDescent="0.15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spans="1:30" ht="23" x14ac:dyDescent="0.15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spans="1:30" ht="23" x14ac:dyDescent="0.15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spans="1:30" ht="23" x14ac:dyDescent="0.15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spans="1:30" ht="23" x14ac:dyDescent="0.15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spans="1:30" ht="23" x14ac:dyDescent="0.15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spans="1:30" ht="23" x14ac:dyDescent="0.15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spans="1:30" ht="23" x14ac:dyDescent="0.15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spans="1:30" ht="23" x14ac:dyDescent="0.15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spans="1:30" ht="23" x14ac:dyDescent="0.15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spans="1:30" ht="23" x14ac:dyDescent="0.15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spans="1:30" ht="23" x14ac:dyDescent="0.15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spans="1:30" ht="23" x14ac:dyDescent="0.15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spans="1:30" ht="23" x14ac:dyDescent="0.15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spans="1:30" ht="23" x14ac:dyDescent="0.15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spans="1:30" ht="23" x14ac:dyDescent="0.15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spans="1:30" ht="23" x14ac:dyDescent="0.15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spans="1:30" ht="23" x14ac:dyDescent="0.15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spans="1:30" ht="23" x14ac:dyDescent="0.15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spans="1:30" ht="23" x14ac:dyDescent="0.15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spans="1:30" ht="23" x14ac:dyDescent="0.15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spans="1:30" ht="23" x14ac:dyDescent="0.15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spans="1:30" ht="23" x14ac:dyDescent="0.15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spans="1:30" ht="23" x14ac:dyDescent="0.15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spans="1:30" ht="23" x14ac:dyDescent="0.15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spans="1:30" ht="23" x14ac:dyDescent="0.15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spans="1:30" ht="23" x14ac:dyDescent="0.15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spans="1:30" ht="23" x14ac:dyDescent="0.15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spans="1:30" ht="23" x14ac:dyDescent="0.15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spans="1:30" ht="23" x14ac:dyDescent="0.15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spans="1:30" ht="23" x14ac:dyDescent="0.15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spans="1:30" ht="23" x14ac:dyDescent="0.15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spans="1:30" ht="23" x14ac:dyDescent="0.15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spans="1:30" ht="23" x14ac:dyDescent="0.15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spans="1:30" ht="23" x14ac:dyDescent="0.15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spans="1:30" ht="23" x14ac:dyDescent="0.15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spans="1:30" ht="23" x14ac:dyDescent="0.15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spans="1:30" ht="23" x14ac:dyDescent="0.15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spans="1:30" ht="23" x14ac:dyDescent="0.15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spans="1:30" ht="23" x14ac:dyDescent="0.15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spans="1:30" ht="23" x14ac:dyDescent="0.15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spans="1:30" ht="23" x14ac:dyDescent="0.15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spans="1:30" ht="23" x14ac:dyDescent="0.15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spans="1:30" ht="23" x14ac:dyDescent="0.15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spans="1:30" ht="23" x14ac:dyDescent="0.15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spans="1:30" ht="23" x14ac:dyDescent="0.15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spans="1:30" ht="23" x14ac:dyDescent="0.15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spans="1:30" ht="23" x14ac:dyDescent="0.15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spans="1:30" ht="23" x14ac:dyDescent="0.15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 spans="1:30" ht="23" x14ac:dyDescent="0.15">
      <c r="A1001" s="1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 spans="1:30" ht="23" x14ac:dyDescent="0.15">
      <c r="A1002" s="1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 spans="1:30" ht="23" x14ac:dyDescent="0.15">
      <c r="A1003" s="1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 spans="1:30" ht="23" x14ac:dyDescent="0.15">
      <c r="A1004" s="1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 spans="1:30" ht="23" x14ac:dyDescent="0.15">
      <c r="A1005" s="1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 spans="1:30" ht="23" x14ac:dyDescent="0.15">
      <c r="A1006" s="1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 spans="1:30" ht="23" x14ac:dyDescent="0.15">
      <c r="A1007" s="1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 spans="1:30" ht="23" x14ac:dyDescent="0.15">
      <c r="A1008" s="1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 spans="1:30" ht="23" x14ac:dyDescent="0.15">
      <c r="A1009" s="1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 spans="1:30" ht="23" x14ac:dyDescent="0.15">
      <c r="A1010" s="1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 spans="1:30" ht="23" x14ac:dyDescent="0.15">
      <c r="A1011" s="1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 spans="1:30" ht="23" x14ac:dyDescent="0.15">
      <c r="A1012" s="1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 spans="1:30" ht="23" x14ac:dyDescent="0.15">
      <c r="A1013" s="1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  <row r="1014" spans="1:30" ht="23" x14ac:dyDescent="0.15">
      <c r="A1014" s="1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</row>
  </sheetData>
  <mergeCells count="22">
    <mergeCell ref="C21:E21"/>
    <mergeCell ref="C22:E22"/>
    <mergeCell ref="C23:E23"/>
    <mergeCell ref="B33:B45"/>
    <mergeCell ref="C3:J3"/>
    <mergeCell ref="C5:E5"/>
    <mergeCell ref="C17:J17"/>
    <mergeCell ref="C18:E18"/>
    <mergeCell ref="G18:J18"/>
    <mergeCell ref="C20:J20"/>
    <mergeCell ref="G21:J21"/>
    <mergeCell ref="C31:C32"/>
    <mergeCell ref="D31:G31"/>
    <mergeCell ref="H31:J31"/>
    <mergeCell ref="K31:L31"/>
    <mergeCell ref="G22:J22"/>
    <mergeCell ref="G23:J23"/>
    <mergeCell ref="G24:J24"/>
    <mergeCell ref="C26:J26"/>
    <mergeCell ref="C27:E27"/>
    <mergeCell ref="C28:E28"/>
    <mergeCell ref="G29:J29"/>
  </mergeCells>
  <conditionalFormatting sqref="D33:G45">
    <cfRule type="colorScale" priority="1">
      <colorScale>
        <cfvo type="min"/>
        <cfvo type="max"/>
        <color rgb="FFF4CCCC"/>
        <color rgb="FFD9EAD3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56A40-68BB-AB48-B2A2-6A7EBEE50C89}">
  <dimension ref="A1:A22"/>
  <sheetViews>
    <sheetView workbookViewId="0">
      <selection activeCell="A21" sqref="A21"/>
    </sheetView>
  </sheetViews>
  <sheetFormatPr baseColWidth="10" defaultRowHeight="13" x14ac:dyDescent="0.15"/>
  <sheetData>
    <row r="1" spans="1:1" ht="23" x14ac:dyDescent="0.25">
      <c r="A1" s="114" t="s">
        <v>57</v>
      </c>
    </row>
    <row r="3" spans="1:1" x14ac:dyDescent="0.15">
      <c r="A3" s="113" t="s">
        <v>58</v>
      </c>
    </row>
    <row r="4" spans="1:1" x14ac:dyDescent="0.15">
      <c r="A4" s="112" t="s">
        <v>62</v>
      </c>
    </row>
    <row r="5" spans="1:1" x14ac:dyDescent="0.15">
      <c r="A5" s="112" t="s">
        <v>63</v>
      </c>
    </row>
    <row r="6" spans="1:1" x14ac:dyDescent="0.15">
      <c r="A6" s="112" t="s">
        <v>64</v>
      </c>
    </row>
    <row r="7" spans="1:1" x14ac:dyDescent="0.15">
      <c r="A7" s="112" t="s">
        <v>65</v>
      </c>
    </row>
    <row r="8" spans="1:1" x14ac:dyDescent="0.15">
      <c r="A8" s="112" t="s">
        <v>66</v>
      </c>
    </row>
    <row r="11" spans="1:1" x14ac:dyDescent="0.15">
      <c r="A11" s="113" t="s">
        <v>59</v>
      </c>
    </row>
    <row r="12" spans="1:1" x14ac:dyDescent="0.15">
      <c r="A12" s="112" t="s">
        <v>67</v>
      </c>
    </row>
    <row r="13" spans="1:1" x14ac:dyDescent="0.15">
      <c r="A13" s="112" t="s">
        <v>68</v>
      </c>
    </row>
    <row r="14" spans="1:1" x14ac:dyDescent="0.15">
      <c r="A14" s="112" t="s">
        <v>71</v>
      </c>
    </row>
    <row r="17" spans="1:1" x14ac:dyDescent="0.15">
      <c r="A17" s="113" t="s">
        <v>60</v>
      </c>
    </row>
    <row r="18" spans="1:1" x14ac:dyDescent="0.15">
      <c r="A18" s="112" t="s">
        <v>70</v>
      </c>
    </row>
    <row r="19" spans="1:1" x14ac:dyDescent="0.15">
      <c r="A19" s="112"/>
    </row>
    <row r="21" spans="1:1" x14ac:dyDescent="0.15">
      <c r="A21" s="113" t="s">
        <v>61</v>
      </c>
    </row>
    <row r="22" spans="1:1" x14ac:dyDescent="0.15">
      <c r="A22" s="112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1016"/>
  <sheetViews>
    <sheetView zoomScale="75" workbookViewId="0"/>
  </sheetViews>
  <sheetFormatPr baseColWidth="10" defaultColWidth="12.6640625" defaultRowHeight="15.75" customHeight="1" x14ac:dyDescent="0.15"/>
  <cols>
    <col min="1" max="2" width="3" customWidth="1"/>
    <col min="3" max="12" width="24.6640625" customWidth="1"/>
  </cols>
  <sheetData>
    <row r="1" spans="1:30" ht="23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23" x14ac:dyDescent="0.15">
      <c r="A2" s="1"/>
      <c r="B2" s="2"/>
      <c r="C2" s="3" t="s">
        <v>42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20.25" customHeight="1" x14ac:dyDescent="0.15">
      <c r="A3" s="1"/>
      <c r="B3" s="2"/>
      <c r="C3" s="117" t="s">
        <v>43</v>
      </c>
      <c r="D3" s="118"/>
      <c r="E3" s="118"/>
      <c r="F3" s="118"/>
      <c r="G3" s="118"/>
      <c r="H3" s="118"/>
      <c r="I3" s="118"/>
      <c r="J3" s="12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ht="23" x14ac:dyDescent="0.15">
      <c r="A4" s="1"/>
      <c r="B4" s="2"/>
      <c r="C4" s="5"/>
      <c r="D4" s="5"/>
      <c r="E4" s="5"/>
      <c r="F4" s="5"/>
      <c r="G4" s="2"/>
      <c r="H4" s="5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ht="23" x14ac:dyDescent="0.25">
      <c r="A5" s="1"/>
      <c r="B5" s="4"/>
      <c r="C5" s="131" t="s">
        <v>2</v>
      </c>
      <c r="D5" s="132"/>
      <c r="E5" s="132"/>
      <c r="F5" s="6" t="s">
        <v>3</v>
      </c>
      <c r="G5" s="7"/>
      <c r="H5" s="8" t="s">
        <v>4</v>
      </c>
      <c r="I5" s="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ht="23" x14ac:dyDescent="0.25">
      <c r="A6" s="1"/>
      <c r="B6" s="4"/>
      <c r="C6" s="10" t="s">
        <v>5</v>
      </c>
      <c r="D6" s="11"/>
      <c r="E6" s="11"/>
      <c r="F6" s="12">
        <v>5000000</v>
      </c>
      <c r="G6" s="13"/>
      <c r="H6" s="14" t="s">
        <v>6</v>
      </c>
      <c r="I6" s="1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ht="23" x14ac:dyDescent="0.25">
      <c r="A7" s="1"/>
      <c r="B7" s="4"/>
      <c r="C7" s="10" t="s">
        <v>7</v>
      </c>
      <c r="D7" s="16"/>
      <c r="E7" s="16"/>
      <c r="F7" s="17">
        <v>1.8</v>
      </c>
      <c r="G7" s="18"/>
      <c r="H7" s="19" t="s">
        <v>8</v>
      </c>
      <c r="I7" s="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ht="23" x14ac:dyDescent="0.15">
      <c r="A8" s="1"/>
      <c r="B8" s="4"/>
      <c r="C8" s="20" t="s">
        <v>9</v>
      </c>
      <c r="D8" s="21"/>
      <c r="E8" s="21"/>
      <c r="F8" s="22"/>
      <c r="G8" s="9"/>
      <c r="H8" s="23" t="s">
        <v>10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ht="23" x14ac:dyDescent="0.15">
      <c r="A9" s="1"/>
      <c r="B9" s="4"/>
      <c r="C9" s="10" t="s">
        <v>11</v>
      </c>
      <c r="D9" s="21"/>
      <c r="E9" s="21"/>
      <c r="F9" s="24">
        <v>0.06</v>
      </c>
      <c r="G9" s="9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23" x14ac:dyDescent="0.15">
      <c r="A10" s="1"/>
      <c r="B10" s="4"/>
      <c r="C10" s="10" t="s">
        <v>12</v>
      </c>
      <c r="D10" s="21"/>
      <c r="E10" s="21"/>
      <c r="F10" s="24">
        <v>6.5000000000000002E-2</v>
      </c>
      <c r="G10" s="9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t="23" x14ac:dyDescent="0.15">
      <c r="A11" s="1"/>
      <c r="B11" s="4"/>
      <c r="C11" s="20" t="s">
        <v>14</v>
      </c>
      <c r="D11" s="16"/>
      <c r="E11" s="16"/>
      <c r="F11" s="26"/>
      <c r="G11" s="9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23" x14ac:dyDescent="0.15">
      <c r="A12" s="1"/>
      <c r="B12" s="4"/>
      <c r="C12" s="10" t="s">
        <v>15</v>
      </c>
      <c r="D12" s="16"/>
      <c r="E12" s="16"/>
      <c r="F12" s="17">
        <v>1.75</v>
      </c>
      <c r="G12" s="9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ht="23" x14ac:dyDescent="0.15">
      <c r="A13" s="1"/>
      <c r="B13" s="4"/>
      <c r="C13" s="20" t="s">
        <v>16</v>
      </c>
      <c r="D13" s="2"/>
      <c r="E13" s="2"/>
      <c r="F13" s="27"/>
      <c r="G13" s="9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ht="23" x14ac:dyDescent="0.25">
      <c r="A14" s="1"/>
      <c r="B14" s="4"/>
      <c r="C14" s="28" t="s">
        <v>44</v>
      </c>
      <c r="D14" s="29"/>
      <c r="E14" s="29"/>
      <c r="F14" s="30">
        <f>F7</f>
        <v>1.8</v>
      </c>
      <c r="G14" s="9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ht="23" x14ac:dyDescent="0.25">
      <c r="A15" s="1"/>
      <c r="B15" s="4"/>
      <c r="C15" s="31" t="s">
        <v>45</v>
      </c>
      <c r="D15" s="32"/>
      <c r="E15" s="32"/>
      <c r="F15" s="33">
        <v>0.01</v>
      </c>
      <c r="G15" s="9"/>
      <c r="H15" s="34"/>
      <c r="I15" s="2"/>
      <c r="J15" s="34"/>
      <c r="K15" s="34"/>
      <c r="L15" s="34"/>
      <c r="M15" s="34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ht="23" x14ac:dyDescent="0.25">
      <c r="A16" s="1"/>
      <c r="B16" s="2"/>
      <c r="C16" s="35"/>
      <c r="D16" s="35"/>
      <c r="E16" s="35"/>
      <c r="F16" s="35"/>
      <c r="G16" s="36"/>
      <c r="H16" s="36"/>
      <c r="I16" s="5"/>
      <c r="J16" s="37"/>
      <c r="K16" s="34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ht="23" x14ac:dyDescent="0.25">
      <c r="A17" s="1"/>
      <c r="B17" s="4"/>
      <c r="C17" s="133" t="s">
        <v>19</v>
      </c>
      <c r="D17" s="124"/>
      <c r="E17" s="124"/>
      <c r="F17" s="124"/>
      <c r="G17" s="124"/>
      <c r="H17" s="124"/>
      <c r="I17" s="124"/>
      <c r="J17" s="125"/>
      <c r="K17" s="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ht="23" x14ac:dyDescent="0.15">
      <c r="A18" s="1"/>
      <c r="B18" s="4"/>
      <c r="C18" s="134" t="s">
        <v>46</v>
      </c>
      <c r="D18" s="121"/>
      <c r="E18" s="135"/>
      <c r="F18" s="38">
        <f>contract_notional_value_payable*forward_price_payable</f>
        <v>8750000</v>
      </c>
      <c r="G18" s="120" t="s">
        <v>21</v>
      </c>
      <c r="H18" s="121"/>
      <c r="I18" s="121"/>
      <c r="J18" s="122"/>
      <c r="K18" s="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ht="23" x14ac:dyDescent="0.15">
      <c r="A19" s="1"/>
      <c r="B19" s="2"/>
      <c r="C19" s="35"/>
      <c r="D19" s="35"/>
      <c r="E19" s="35"/>
      <c r="F19" s="35"/>
      <c r="G19" s="39"/>
      <c r="H19" s="35"/>
      <c r="I19" s="35"/>
      <c r="J19" s="35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ht="23" x14ac:dyDescent="0.15">
      <c r="A20" s="1"/>
      <c r="B20" s="4"/>
      <c r="C20" s="123" t="s">
        <v>22</v>
      </c>
      <c r="D20" s="124"/>
      <c r="E20" s="124"/>
      <c r="F20" s="124"/>
      <c r="G20" s="124"/>
      <c r="H20" s="124"/>
      <c r="I20" s="124"/>
      <c r="J20" s="125"/>
      <c r="K20" s="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ht="23" x14ac:dyDescent="0.15">
      <c r="A21" s="1"/>
      <c r="B21" s="4"/>
      <c r="C21" s="126" t="s">
        <v>47</v>
      </c>
      <c r="D21" s="118"/>
      <c r="E21" s="127"/>
      <c r="F21" s="40">
        <f>contract_notional_value_payable/(1+rate_uk_1y_payable)</f>
        <v>4694835.6807511738</v>
      </c>
      <c r="G21" s="117"/>
      <c r="H21" s="118"/>
      <c r="I21" s="118"/>
      <c r="J21" s="119"/>
      <c r="K21" s="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ht="23" x14ac:dyDescent="0.15">
      <c r="A22" s="1"/>
      <c r="B22" s="4"/>
      <c r="C22" s="126" t="s">
        <v>48</v>
      </c>
      <c r="D22" s="118"/>
      <c r="E22" s="127"/>
      <c r="F22" s="41">
        <f>F21*current_spot_price_payable</f>
        <v>8450704.2253521122</v>
      </c>
      <c r="G22" s="117"/>
      <c r="H22" s="118"/>
      <c r="I22" s="118"/>
      <c r="J22" s="119"/>
      <c r="K22" s="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ht="23" x14ac:dyDescent="0.15">
      <c r="A23" s="1"/>
      <c r="B23" s="4"/>
      <c r="C23" s="126" t="s">
        <v>49</v>
      </c>
      <c r="D23" s="118"/>
      <c r="E23" s="127"/>
      <c r="F23" s="40">
        <f>F22/current_spot_price_payable</f>
        <v>4694835.6807511738</v>
      </c>
      <c r="G23" s="44"/>
      <c r="H23" s="44"/>
      <c r="I23" s="44"/>
      <c r="J23" s="44"/>
      <c r="K23" s="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ht="23" x14ac:dyDescent="0.15">
      <c r="A24" s="1"/>
      <c r="B24" s="4"/>
      <c r="C24" s="126" t="s">
        <v>50</v>
      </c>
      <c r="D24" s="118"/>
      <c r="E24" s="127"/>
      <c r="F24" s="40">
        <f>F23*(1+rate_uk_1y_payable)</f>
        <v>5000000</v>
      </c>
      <c r="G24" s="44"/>
      <c r="H24" s="44"/>
      <c r="I24" s="44"/>
      <c r="J24" s="44"/>
      <c r="K24" s="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ht="23" x14ac:dyDescent="0.15">
      <c r="A25" s="1"/>
      <c r="B25" s="4"/>
      <c r="C25" s="126" t="s">
        <v>51</v>
      </c>
      <c r="D25" s="118"/>
      <c r="E25" s="127"/>
      <c r="F25" s="41">
        <f>F22*(1+rate_us_1y_payable)</f>
        <v>8957746.4788732398</v>
      </c>
      <c r="G25" s="117"/>
      <c r="H25" s="118"/>
      <c r="I25" s="118"/>
      <c r="J25" s="119"/>
      <c r="K25" s="9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ht="23" x14ac:dyDescent="0.15">
      <c r="A26" s="1"/>
      <c r="B26" s="4"/>
      <c r="C26" s="42"/>
      <c r="D26" s="43"/>
      <c r="E26" s="43"/>
      <c r="F26" s="38">
        <f>F25</f>
        <v>8957746.4788732398</v>
      </c>
      <c r="G26" s="120" t="s">
        <v>21</v>
      </c>
      <c r="H26" s="121"/>
      <c r="I26" s="121"/>
      <c r="J26" s="122"/>
      <c r="K26" s="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ht="23" x14ac:dyDescent="0.15">
      <c r="A27" s="1"/>
      <c r="B27" s="2"/>
      <c r="C27" s="35"/>
      <c r="D27" s="35"/>
      <c r="E27" s="35"/>
      <c r="F27" s="35"/>
      <c r="G27" s="39"/>
      <c r="H27" s="35"/>
      <c r="I27" s="35"/>
      <c r="J27" s="35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ht="23" x14ac:dyDescent="0.15">
      <c r="A28" s="1"/>
      <c r="B28" s="4"/>
      <c r="C28" s="123" t="s">
        <v>26</v>
      </c>
      <c r="D28" s="124"/>
      <c r="E28" s="124"/>
      <c r="F28" s="124"/>
      <c r="G28" s="124"/>
      <c r="H28" s="124"/>
      <c r="I28" s="124"/>
      <c r="J28" s="125"/>
      <c r="K28" s="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ht="23" x14ac:dyDescent="0.25">
      <c r="A29" s="1"/>
      <c r="B29" s="4"/>
      <c r="C29" s="126" t="s">
        <v>52</v>
      </c>
      <c r="D29" s="118"/>
      <c r="E29" s="127"/>
      <c r="F29" s="41">
        <f>-call_price*contract_notional_value_payable</f>
        <v>-50000</v>
      </c>
      <c r="G29" s="34"/>
      <c r="H29" s="2"/>
      <c r="I29" s="2"/>
      <c r="J29" s="44"/>
      <c r="K29" s="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ht="23" x14ac:dyDescent="0.25">
      <c r="A30" s="1"/>
      <c r="B30" s="4"/>
      <c r="C30" s="126" t="s">
        <v>28</v>
      </c>
      <c r="D30" s="118"/>
      <c r="E30" s="127"/>
      <c r="F30" s="41">
        <f>F29*(1+rate_us_1y_payable)</f>
        <v>-53000</v>
      </c>
      <c r="G30" s="34"/>
      <c r="H30" s="2"/>
      <c r="I30" s="2"/>
      <c r="J30" s="44"/>
      <c r="K30" s="9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ht="23" x14ac:dyDescent="0.15">
      <c r="A31" s="1"/>
      <c r="B31" s="4"/>
      <c r="C31" s="42"/>
      <c r="D31" s="45"/>
      <c r="E31" s="45"/>
      <c r="F31" s="46">
        <f>MAX(G35:G47)</f>
        <v>9053000.0000000019</v>
      </c>
      <c r="G31" s="120" t="s">
        <v>53</v>
      </c>
      <c r="H31" s="121"/>
      <c r="I31" s="121"/>
      <c r="J31" s="122"/>
      <c r="K31" s="9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ht="23" x14ac:dyDescent="0.15">
      <c r="A32" s="1"/>
      <c r="B32" s="2"/>
      <c r="C32" s="47"/>
      <c r="D32" s="47"/>
      <c r="E32" s="47"/>
      <c r="F32" s="47"/>
      <c r="G32" s="87"/>
      <c r="H32" s="47"/>
      <c r="I32" s="47"/>
      <c r="J32" s="47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ht="23" x14ac:dyDescent="0.15">
      <c r="A33" s="1"/>
      <c r="B33" s="4"/>
      <c r="C33" s="136" t="s">
        <v>30</v>
      </c>
      <c r="D33" s="115" t="s">
        <v>54</v>
      </c>
      <c r="E33" s="138"/>
      <c r="F33" s="138"/>
      <c r="G33" s="116"/>
      <c r="H33" s="139" t="s">
        <v>32</v>
      </c>
      <c r="I33" s="138"/>
      <c r="J33" s="116"/>
      <c r="K33" s="115" t="s">
        <v>33</v>
      </c>
      <c r="L33" s="116"/>
      <c r="M33" s="9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ht="23" x14ac:dyDescent="0.15">
      <c r="A34" s="1"/>
      <c r="B34" s="4"/>
      <c r="C34" s="137"/>
      <c r="D34" s="48" t="s">
        <v>34</v>
      </c>
      <c r="E34" s="49" t="s">
        <v>19</v>
      </c>
      <c r="F34" s="50" t="s">
        <v>22</v>
      </c>
      <c r="G34" s="51" t="s">
        <v>26</v>
      </c>
      <c r="H34" s="52" t="s">
        <v>35</v>
      </c>
      <c r="I34" s="53" t="s">
        <v>22</v>
      </c>
      <c r="J34" s="54" t="s">
        <v>26</v>
      </c>
      <c r="K34" s="48" t="s">
        <v>36</v>
      </c>
      <c r="L34" s="55" t="s">
        <v>37</v>
      </c>
      <c r="M34" s="9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ht="23" x14ac:dyDescent="0.25">
      <c r="A35" s="56"/>
      <c r="B35" s="128" t="s">
        <v>38</v>
      </c>
      <c r="C35" s="57">
        <f t="shared" ref="C35:C40" si="0">C36-0.05</f>
        <v>1.4999999999999998</v>
      </c>
      <c r="D35" s="88">
        <f t="shared" ref="D35:D47" si="1">future_spot_price_payable*contract_notional_value_payable</f>
        <v>7499999.9999999991</v>
      </c>
      <c r="E35" s="89">
        <f t="shared" ref="E35:E47" si="2">$D35+(forward_price_payable-future_spot_price_payable)*contract_notional_value_payable</f>
        <v>8750000</v>
      </c>
      <c r="F35" s="90">
        <f t="shared" ref="F35:F47" si="3">$F$26</f>
        <v>8957746.4788732398</v>
      </c>
      <c r="G35" s="91">
        <f t="shared" ref="G35:G47" si="4">$D35-J35</f>
        <v>7552999.9999999991</v>
      </c>
      <c r="H35" s="92">
        <f t="shared" ref="H35:H47" si="5">(forward_price_payable-future_spot_price_payable)*contract_notional_value_payable</f>
        <v>1250000.0000000012</v>
      </c>
      <c r="I35" s="93">
        <f t="shared" ref="I35:I47" si="6">$F$26-D35</f>
        <v>1457746.4788732408</v>
      </c>
      <c r="J35" s="94">
        <f t="shared" ref="J35:J47" si="7">F$30+MAX(0,(future_spot_price_payable-call_strike)*contract_notional_value_payable)</f>
        <v>-53000</v>
      </c>
      <c r="K35" s="95" t="str">
        <f>IF(E35= MIN(D35,E35,F35,G35),$E$34,IF(F35= MIN(D35,E35,F35,G35),$F$34,IF(G35= MIN(D35,E35,F35,G35),$G$34,$D$34)))</f>
        <v>0. No Hedge</v>
      </c>
      <c r="L35" s="96" t="str">
        <f>IF(E35= MIN(E35,F35,G35),$E$34,IF(F35= MIN(E35,F35,G35),$F$34,$G$34))</f>
        <v>3. Option Hedge</v>
      </c>
      <c r="M35" s="9" t="s">
        <v>55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ht="23" x14ac:dyDescent="0.25">
      <c r="A36" s="56"/>
      <c r="B36" s="129"/>
      <c r="C36" s="67">
        <f t="shared" si="0"/>
        <v>1.5499999999999998</v>
      </c>
      <c r="D36" s="97">
        <f t="shared" si="1"/>
        <v>7749999.9999999991</v>
      </c>
      <c r="E36" s="41">
        <f t="shared" si="2"/>
        <v>8750000</v>
      </c>
      <c r="F36" s="98">
        <f t="shared" si="3"/>
        <v>8957746.4788732398</v>
      </c>
      <c r="G36" s="99">
        <f t="shared" si="4"/>
        <v>7802999.9999999991</v>
      </c>
      <c r="H36" s="100">
        <f t="shared" si="5"/>
        <v>1000000.0000000009</v>
      </c>
      <c r="I36" s="101">
        <f t="shared" si="6"/>
        <v>1207746.4788732408</v>
      </c>
      <c r="J36" s="102">
        <f t="shared" si="7"/>
        <v>-53000</v>
      </c>
      <c r="K36" s="103" t="str">
        <f t="shared" ref="K36:K47" si="8">IF(E36= MIN(D36,E36,F36,G36),$E$34,IF(F36= MIN(D36,E36,F36,G36),$F$34,IF(G36= MIN(D36,E36,F36,G36),$G$34,$D$34)))</f>
        <v>0. No Hedge</v>
      </c>
      <c r="L36" s="77" t="str">
        <f t="shared" ref="L36:L47" si="9">IF(E36= MIN(E36,F36,G36),$E$34,IF(F36= MIN(E36,F36,G36),$F$34,$G$34))</f>
        <v>3. Option Hedge</v>
      </c>
      <c r="M36" s="9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ht="23" x14ac:dyDescent="0.25">
      <c r="A37" s="56"/>
      <c r="B37" s="129"/>
      <c r="C37" s="67">
        <f t="shared" si="0"/>
        <v>1.5999999999999999</v>
      </c>
      <c r="D37" s="97">
        <f t="shared" si="1"/>
        <v>7999999.9999999991</v>
      </c>
      <c r="E37" s="41">
        <f t="shared" si="2"/>
        <v>8750000</v>
      </c>
      <c r="F37" s="98">
        <f t="shared" si="3"/>
        <v>8957746.4788732398</v>
      </c>
      <c r="G37" s="99">
        <f t="shared" si="4"/>
        <v>8052999.9999999991</v>
      </c>
      <c r="H37" s="100">
        <f t="shared" si="5"/>
        <v>750000.0000000007</v>
      </c>
      <c r="I37" s="101">
        <f t="shared" si="6"/>
        <v>957746.47887324076</v>
      </c>
      <c r="J37" s="102">
        <f t="shared" si="7"/>
        <v>-53000</v>
      </c>
      <c r="K37" s="103" t="str">
        <f t="shared" si="8"/>
        <v>0. No Hedge</v>
      </c>
      <c r="L37" s="77" t="str">
        <f t="shared" si="9"/>
        <v>3. Option Hedge</v>
      </c>
      <c r="M37" s="9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ht="23" x14ac:dyDescent="0.25">
      <c r="A38" s="56"/>
      <c r="B38" s="129"/>
      <c r="C38" s="67">
        <f t="shared" si="0"/>
        <v>1.65</v>
      </c>
      <c r="D38" s="97">
        <f t="shared" si="1"/>
        <v>8250000</v>
      </c>
      <c r="E38" s="41">
        <f t="shared" si="2"/>
        <v>8750000</v>
      </c>
      <c r="F38" s="98">
        <f t="shared" si="3"/>
        <v>8957746.4788732398</v>
      </c>
      <c r="G38" s="99">
        <f t="shared" si="4"/>
        <v>8303000</v>
      </c>
      <c r="H38" s="100">
        <f t="shared" si="5"/>
        <v>500000.00000000047</v>
      </c>
      <c r="I38" s="101">
        <f t="shared" si="6"/>
        <v>707746.47887323983</v>
      </c>
      <c r="J38" s="102">
        <f t="shared" si="7"/>
        <v>-53000</v>
      </c>
      <c r="K38" s="103" t="str">
        <f t="shared" si="8"/>
        <v>0. No Hedge</v>
      </c>
      <c r="L38" s="77" t="str">
        <f t="shared" si="9"/>
        <v>3. Option Hedge</v>
      </c>
      <c r="M38" s="9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ht="23" x14ac:dyDescent="0.25">
      <c r="A39" s="56"/>
      <c r="B39" s="129"/>
      <c r="C39" s="67">
        <f t="shared" si="0"/>
        <v>1.7</v>
      </c>
      <c r="D39" s="97">
        <f t="shared" si="1"/>
        <v>8500000</v>
      </c>
      <c r="E39" s="41">
        <f t="shared" si="2"/>
        <v>8750000</v>
      </c>
      <c r="F39" s="98">
        <f t="shared" si="3"/>
        <v>8957746.4788732398</v>
      </c>
      <c r="G39" s="99">
        <f t="shared" si="4"/>
        <v>8553000</v>
      </c>
      <c r="H39" s="100">
        <f t="shared" si="5"/>
        <v>250000.00000000023</v>
      </c>
      <c r="I39" s="101">
        <f t="shared" si="6"/>
        <v>457746.47887323983</v>
      </c>
      <c r="J39" s="102">
        <f t="shared" si="7"/>
        <v>-53000</v>
      </c>
      <c r="K39" s="103" t="str">
        <f t="shared" si="8"/>
        <v>0. No Hedge</v>
      </c>
      <c r="L39" s="77" t="str">
        <f t="shared" si="9"/>
        <v>3. Option Hedge</v>
      </c>
      <c r="M39" s="9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ht="23" x14ac:dyDescent="0.25">
      <c r="A40" s="56"/>
      <c r="B40" s="129"/>
      <c r="C40" s="67">
        <f t="shared" si="0"/>
        <v>1.75</v>
      </c>
      <c r="D40" s="97">
        <f t="shared" si="1"/>
        <v>8750000</v>
      </c>
      <c r="E40" s="41">
        <f t="shared" si="2"/>
        <v>8750000</v>
      </c>
      <c r="F40" s="98">
        <f t="shared" si="3"/>
        <v>8957746.4788732398</v>
      </c>
      <c r="G40" s="99">
        <f t="shared" si="4"/>
        <v>8803000</v>
      </c>
      <c r="H40" s="100">
        <f t="shared" si="5"/>
        <v>0</v>
      </c>
      <c r="I40" s="101">
        <f t="shared" si="6"/>
        <v>207746.47887323983</v>
      </c>
      <c r="J40" s="102">
        <f t="shared" si="7"/>
        <v>-53000</v>
      </c>
      <c r="K40" s="103" t="str">
        <f t="shared" si="8"/>
        <v>1. Forward Hedge</v>
      </c>
      <c r="L40" s="75" t="str">
        <f t="shared" si="9"/>
        <v>1. Forward Hedge</v>
      </c>
      <c r="M40" s="9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ht="23" x14ac:dyDescent="0.25">
      <c r="A41" s="56"/>
      <c r="B41" s="129"/>
      <c r="C41" s="67">
        <f>F7</f>
        <v>1.8</v>
      </c>
      <c r="D41" s="97">
        <f t="shared" si="1"/>
        <v>9000000</v>
      </c>
      <c r="E41" s="41">
        <f t="shared" si="2"/>
        <v>8750000</v>
      </c>
      <c r="F41" s="98">
        <f t="shared" si="3"/>
        <v>8957746.4788732398</v>
      </c>
      <c r="G41" s="99">
        <f t="shared" si="4"/>
        <v>9053000</v>
      </c>
      <c r="H41" s="100">
        <f t="shared" si="5"/>
        <v>-250000.00000000023</v>
      </c>
      <c r="I41" s="101">
        <f t="shared" si="6"/>
        <v>-42253.52112676017</v>
      </c>
      <c r="J41" s="102">
        <f t="shared" si="7"/>
        <v>-53000</v>
      </c>
      <c r="K41" s="103" t="str">
        <f t="shared" si="8"/>
        <v>1. Forward Hedge</v>
      </c>
      <c r="L41" s="75" t="str">
        <f t="shared" si="9"/>
        <v>1. Forward Hedge</v>
      </c>
      <c r="M41" s="9" t="s">
        <v>40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ht="23" x14ac:dyDescent="0.25">
      <c r="A42" s="56"/>
      <c r="B42" s="129"/>
      <c r="C42" s="67">
        <f t="shared" ref="C42:C47" si="10">C41+0.05</f>
        <v>1.85</v>
      </c>
      <c r="D42" s="97">
        <f t="shared" si="1"/>
        <v>9250000</v>
      </c>
      <c r="E42" s="41">
        <f t="shared" si="2"/>
        <v>8750000</v>
      </c>
      <c r="F42" s="98">
        <f t="shared" si="3"/>
        <v>8957746.4788732398</v>
      </c>
      <c r="G42" s="99">
        <f t="shared" si="4"/>
        <v>9053000</v>
      </c>
      <c r="H42" s="100">
        <f t="shared" si="5"/>
        <v>-500000.00000000047</v>
      </c>
      <c r="I42" s="101">
        <f t="shared" si="6"/>
        <v>-292253.52112676017</v>
      </c>
      <c r="J42" s="102">
        <f t="shared" si="7"/>
        <v>197000.00000000023</v>
      </c>
      <c r="K42" s="103" t="str">
        <f t="shared" si="8"/>
        <v>1. Forward Hedge</v>
      </c>
      <c r="L42" s="75" t="str">
        <f t="shared" si="9"/>
        <v>1. Forward Hedge</v>
      </c>
      <c r="M42" s="9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ht="23" x14ac:dyDescent="0.25">
      <c r="A43" s="56"/>
      <c r="B43" s="129"/>
      <c r="C43" s="67">
        <f t="shared" si="10"/>
        <v>1.9000000000000001</v>
      </c>
      <c r="D43" s="97">
        <f t="shared" si="1"/>
        <v>9500000</v>
      </c>
      <c r="E43" s="41">
        <f t="shared" si="2"/>
        <v>8750000</v>
      </c>
      <c r="F43" s="98">
        <f t="shared" si="3"/>
        <v>8957746.4788732398</v>
      </c>
      <c r="G43" s="99">
        <f t="shared" si="4"/>
        <v>9053000</v>
      </c>
      <c r="H43" s="100">
        <f t="shared" si="5"/>
        <v>-750000.0000000007</v>
      </c>
      <c r="I43" s="101">
        <f t="shared" si="6"/>
        <v>-542253.52112676017</v>
      </c>
      <c r="J43" s="102">
        <f t="shared" si="7"/>
        <v>447000.00000000047</v>
      </c>
      <c r="K43" s="103" t="str">
        <f t="shared" si="8"/>
        <v>1. Forward Hedge</v>
      </c>
      <c r="L43" s="75" t="str">
        <f t="shared" si="9"/>
        <v>1. Forward Hedge</v>
      </c>
      <c r="M43" s="9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ht="23" x14ac:dyDescent="0.25">
      <c r="A44" s="56"/>
      <c r="B44" s="129"/>
      <c r="C44" s="67">
        <f t="shared" si="10"/>
        <v>1.9500000000000002</v>
      </c>
      <c r="D44" s="97">
        <f t="shared" si="1"/>
        <v>9750000</v>
      </c>
      <c r="E44" s="41">
        <f t="shared" si="2"/>
        <v>8750000</v>
      </c>
      <c r="F44" s="98">
        <f t="shared" si="3"/>
        <v>8957746.4788732398</v>
      </c>
      <c r="G44" s="99">
        <f t="shared" si="4"/>
        <v>9053000</v>
      </c>
      <c r="H44" s="100">
        <f t="shared" si="5"/>
        <v>-1000000.0000000009</v>
      </c>
      <c r="I44" s="101">
        <f t="shared" si="6"/>
        <v>-792253.52112676017</v>
      </c>
      <c r="J44" s="102">
        <f t="shared" si="7"/>
        <v>697000.0000000007</v>
      </c>
      <c r="K44" s="103" t="str">
        <f t="shared" si="8"/>
        <v>1. Forward Hedge</v>
      </c>
      <c r="L44" s="77" t="str">
        <f t="shared" si="9"/>
        <v>1. Forward Hedge</v>
      </c>
      <c r="M44" s="9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23" x14ac:dyDescent="0.25">
      <c r="A45" s="56"/>
      <c r="B45" s="129"/>
      <c r="C45" s="67">
        <f t="shared" si="10"/>
        <v>2</v>
      </c>
      <c r="D45" s="97">
        <f t="shared" si="1"/>
        <v>10000000</v>
      </c>
      <c r="E45" s="41">
        <f t="shared" si="2"/>
        <v>8750000</v>
      </c>
      <c r="F45" s="98">
        <f t="shared" si="3"/>
        <v>8957746.4788732398</v>
      </c>
      <c r="G45" s="99">
        <f t="shared" si="4"/>
        <v>9053000</v>
      </c>
      <c r="H45" s="100">
        <f t="shared" si="5"/>
        <v>-1250000</v>
      </c>
      <c r="I45" s="101">
        <f t="shared" si="6"/>
        <v>-1042253.5211267602</v>
      </c>
      <c r="J45" s="102">
        <f t="shared" si="7"/>
        <v>946999.99999999977</v>
      </c>
      <c r="K45" s="103" t="str">
        <f t="shared" si="8"/>
        <v>1. Forward Hedge</v>
      </c>
      <c r="L45" s="77" t="str">
        <f t="shared" si="9"/>
        <v>1. Forward Hedge</v>
      </c>
      <c r="M45" s="9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23" x14ac:dyDescent="0.25">
      <c r="A46" s="56"/>
      <c r="B46" s="129"/>
      <c r="C46" s="67">
        <f t="shared" si="10"/>
        <v>2.0499999999999998</v>
      </c>
      <c r="D46" s="97">
        <f t="shared" si="1"/>
        <v>10250000</v>
      </c>
      <c r="E46" s="41">
        <f t="shared" si="2"/>
        <v>8750000</v>
      </c>
      <c r="F46" s="98">
        <f t="shared" si="3"/>
        <v>8957746.4788732398</v>
      </c>
      <c r="G46" s="99">
        <f t="shared" si="4"/>
        <v>9053000.0000000019</v>
      </c>
      <c r="H46" s="100">
        <f t="shared" si="5"/>
        <v>-1499999.9999999991</v>
      </c>
      <c r="I46" s="101">
        <f t="shared" si="6"/>
        <v>-1292253.5211267602</v>
      </c>
      <c r="J46" s="102">
        <f t="shared" si="7"/>
        <v>1196999.9999999988</v>
      </c>
      <c r="K46" s="103" t="str">
        <f t="shared" si="8"/>
        <v>1. Forward Hedge</v>
      </c>
      <c r="L46" s="77" t="str">
        <f t="shared" si="9"/>
        <v>1. Forward Hedge</v>
      </c>
      <c r="M46" s="9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23" x14ac:dyDescent="0.25">
      <c r="A47" s="56"/>
      <c r="B47" s="130"/>
      <c r="C47" s="78">
        <f t="shared" si="10"/>
        <v>2.0999999999999996</v>
      </c>
      <c r="D47" s="104">
        <f t="shared" si="1"/>
        <v>10499999.999999998</v>
      </c>
      <c r="E47" s="105">
        <f t="shared" si="2"/>
        <v>8750000</v>
      </c>
      <c r="F47" s="106">
        <f t="shared" si="3"/>
        <v>8957746.4788732398</v>
      </c>
      <c r="G47" s="107">
        <f t="shared" si="4"/>
        <v>9053000</v>
      </c>
      <c r="H47" s="108">
        <f t="shared" si="5"/>
        <v>-1749999.9999999981</v>
      </c>
      <c r="I47" s="109">
        <f t="shared" si="6"/>
        <v>-1542253.5211267583</v>
      </c>
      <c r="J47" s="110">
        <f t="shared" si="7"/>
        <v>1446999.9999999979</v>
      </c>
      <c r="K47" s="111" t="str">
        <f t="shared" si="8"/>
        <v>1. Forward Hedge</v>
      </c>
      <c r="L47" s="86" t="str">
        <f t="shared" si="9"/>
        <v>1. Forward Hedge</v>
      </c>
      <c r="M47" s="9" t="s">
        <v>56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23" x14ac:dyDescent="0.15">
      <c r="A48" s="1"/>
      <c r="B48" s="2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23" x14ac:dyDescent="0.15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23" x14ac:dyDescent="0.15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23" x14ac:dyDescent="0.15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23" x14ac:dyDescent="0.15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23" x14ac:dyDescent="0.15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23" x14ac:dyDescent="0.15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23" x14ac:dyDescent="0.15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23" x14ac:dyDescent="0.15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23" x14ac:dyDescent="0.15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23" x14ac:dyDescent="0.15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23" x14ac:dyDescent="0.15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23" x14ac:dyDescent="0.15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23" x14ac:dyDescent="0.15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23" x14ac:dyDescent="0.15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23" x14ac:dyDescent="0.15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23" x14ac:dyDescent="0.15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23" x14ac:dyDescent="0.15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23" x14ac:dyDescent="0.15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23" x14ac:dyDescent="0.15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23" x14ac:dyDescent="0.15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23" x14ac:dyDescent="0.15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23" x14ac:dyDescent="0.15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23" x14ac:dyDescent="0.15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23" x14ac:dyDescent="0.1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23" x14ac:dyDescent="0.15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23" x14ac:dyDescent="0.15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23" x14ac:dyDescent="0.15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23" x14ac:dyDescent="0.15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23" x14ac:dyDescent="0.15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23" x14ac:dyDescent="0.15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23" x14ac:dyDescent="0.15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23" x14ac:dyDescent="0.15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23" x14ac:dyDescent="0.15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23" x14ac:dyDescent="0.15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23" x14ac:dyDescent="0.15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23" x14ac:dyDescent="0.15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23" x14ac:dyDescent="0.15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23" x14ac:dyDescent="0.15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23" x14ac:dyDescent="0.15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23" x14ac:dyDescent="0.15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ht="23" x14ac:dyDescent="0.15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ht="23" x14ac:dyDescent="0.15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ht="23" x14ac:dyDescent="0.15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ht="23" x14ac:dyDescent="0.15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ht="23" x14ac:dyDescent="0.15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ht="23" x14ac:dyDescent="0.15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ht="23" x14ac:dyDescent="0.15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ht="23" x14ac:dyDescent="0.15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ht="23" x14ac:dyDescent="0.15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ht="23" x14ac:dyDescent="0.15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ht="23" x14ac:dyDescent="0.15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ht="23" x14ac:dyDescent="0.15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ht="23" x14ac:dyDescent="0.15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ht="23" x14ac:dyDescent="0.15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ht="23" x14ac:dyDescent="0.15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ht="23" x14ac:dyDescent="0.15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ht="23" x14ac:dyDescent="0.15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ht="23" x14ac:dyDescent="0.15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ht="23" x14ac:dyDescent="0.15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ht="23" x14ac:dyDescent="0.15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ht="23" x14ac:dyDescent="0.15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ht="23" x14ac:dyDescent="0.15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ht="23" x14ac:dyDescent="0.15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ht="23" x14ac:dyDescent="0.15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ht="23" x14ac:dyDescent="0.15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ht="23" x14ac:dyDescent="0.15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ht="23" x14ac:dyDescent="0.15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ht="23" x14ac:dyDescent="0.15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ht="23" x14ac:dyDescent="0.15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ht="23" x14ac:dyDescent="0.15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ht="23" x14ac:dyDescent="0.15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ht="23" x14ac:dyDescent="0.15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ht="23" x14ac:dyDescent="0.15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ht="23" x14ac:dyDescent="0.15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23" x14ac:dyDescent="0.15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23" x14ac:dyDescent="0.15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23" x14ac:dyDescent="0.1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23" x14ac:dyDescent="0.15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23" x14ac:dyDescent="0.15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23" x14ac:dyDescent="0.15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23" x14ac:dyDescent="0.15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23" x14ac:dyDescent="0.15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23" x14ac:dyDescent="0.15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23" x14ac:dyDescent="0.15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23" x14ac:dyDescent="0.15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23" x14ac:dyDescent="0.15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23" x14ac:dyDescent="0.1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23" x14ac:dyDescent="0.15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23" x14ac:dyDescent="0.15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23" x14ac:dyDescent="0.15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23" x14ac:dyDescent="0.15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23" x14ac:dyDescent="0.15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23" x14ac:dyDescent="0.15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23" x14ac:dyDescent="0.15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23" x14ac:dyDescent="0.15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23" x14ac:dyDescent="0.15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23" x14ac:dyDescent="0.1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23" x14ac:dyDescent="0.15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23" x14ac:dyDescent="0.15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23" x14ac:dyDescent="0.15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23" x14ac:dyDescent="0.15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23" x14ac:dyDescent="0.15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23" x14ac:dyDescent="0.15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23" x14ac:dyDescent="0.15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23" x14ac:dyDescent="0.15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23" x14ac:dyDescent="0.15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23" x14ac:dyDescent="0.15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23" x14ac:dyDescent="0.15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23" x14ac:dyDescent="0.15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23" x14ac:dyDescent="0.15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23" x14ac:dyDescent="0.15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23" x14ac:dyDescent="0.15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23" x14ac:dyDescent="0.15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23" x14ac:dyDescent="0.15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23" x14ac:dyDescent="0.15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23" x14ac:dyDescent="0.15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23" x14ac:dyDescent="0.15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23" x14ac:dyDescent="0.15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23" x14ac:dyDescent="0.15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23" x14ac:dyDescent="0.15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23" x14ac:dyDescent="0.15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23" x14ac:dyDescent="0.15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23" x14ac:dyDescent="0.15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23" x14ac:dyDescent="0.15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23" x14ac:dyDescent="0.15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23" x14ac:dyDescent="0.15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23" x14ac:dyDescent="0.15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23" x14ac:dyDescent="0.15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23" x14ac:dyDescent="0.15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23" x14ac:dyDescent="0.15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23" x14ac:dyDescent="0.15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23" x14ac:dyDescent="0.15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23" x14ac:dyDescent="0.15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23" x14ac:dyDescent="0.15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23" x14ac:dyDescent="0.15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23" x14ac:dyDescent="0.15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23" x14ac:dyDescent="0.15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23" x14ac:dyDescent="0.15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23" x14ac:dyDescent="0.15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23" x14ac:dyDescent="0.15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23" x14ac:dyDescent="0.15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23" x14ac:dyDescent="0.15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23" x14ac:dyDescent="0.15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23" x14ac:dyDescent="0.15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23" x14ac:dyDescent="0.15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23" x14ac:dyDescent="0.15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23" x14ac:dyDescent="0.15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23" x14ac:dyDescent="0.15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23" x14ac:dyDescent="0.15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23" x14ac:dyDescent="0.15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23" x14ac:dyDescent="0.15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23" x14ac:dyDescent="0.15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23" x14ac:dyDescent="0.15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23" x14ac:dyDescent="0.15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23" x14ac:dyDescent="0.15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23" x14ac:dyDescent="0.15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23" x14ac:dyDescent="0.15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23" x14ac:dyDescent="0.15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23" x14ac:dyDescent="0.15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23" x14ac:dyDescent="0.15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23" x14ac:dyDescent="0.15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23" x14ac:dyDescent="0.15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23" x14ac:dyDescent="0.15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23" x14ac:dyDescent="0.15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23" x14ac:dyDescent="0.15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23" x14ac:dyDescent="0.15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23" x14ac:dyDescent="0.15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23" x14ac:dyDescent="0.15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23" x14ac:dyDescent="0.15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23" x14ac:dyDescent="0.15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23" x14ac:dyDescent="0.15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23" x14ac:dyDescent="0.15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23" x14ac:dyDescent="0.15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23" x14ac:dyDescent="0.15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23" x14ac:dyDescent="0.15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23" x14ac:dyDescent="0.15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23" x14ac:dyDescent="0.15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23" x14ac:dyDescent="0.15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23" x14ac:dyDescent="0.15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23" x14ac:dyDescent="0.15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23" x14ac:dyDescent="0.15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23" x14ac:dyDescent="0.15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23" x14ac:dyDescent="0.15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23" x14ac:dyDescent="0.15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23" x14ac:dyDescent="0.15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23" x14ac:dyDescent="0.15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23" x14ac:dyDescent="0.15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23" x14ac:dyDescent="0.15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23" x14ac:dyDescent="0.15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23" x14ac:dyDescent="0.15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23" x14ac:dyDescent="0.15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23" x14ac:dyDescent="0.15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23" x14ac:dyDescent="0.15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23" x14ac:dyDescent="0.15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23" x14ac:dyDescent="0.15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23" x14ac:dyDescent="0.15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23" x14ac:dyDescent="0.15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23" x14ac:dyDescent="0.15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23" x14ac:dyDescent="0.15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23" x14ac:dyDescent="0.15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23" x14ac:dyDescent="0.15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23" x14ac:dyDescent="0.15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23" x14ac:dyDescent="0.15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23" x14ac:dyDescent="0.15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23" x14ac:dyDescent="0.15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23" x14ac:dyDescent="0.15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23" x14ac:dyDescent="0.15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23" x14ac:dyDescent="0.15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23" x14ac:dyDescent="0.15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23" x14ac:dyDescent="0.15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23" x14ac:dyDescent="0.15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23" x14ac:dyDescent="0.15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23" x14ac:dyDescent="0.15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23" x14ac:dyDescent="0.15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23" x14ac:dyDescent="0.15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23" x14ac:dyDescent="0.15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23" x14ac:dyDescent="0.15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23" x14ac:dyDescent="0.15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23" x14ac:dyDescent="0.15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23" x14ac:dyDescent="0.15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23" x14ac:dyDescent="0.15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23" x14ac:dyDescent="0.15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23" x14ac:dyDescent="0.15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23" x14ac:dyDescent="0.15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23" x14ac:dyDescent="0.15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23" x14ac:dyDescent="0.15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23" x14ac:dyDescent="0.15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23" x14ac:dyDescent="0.15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23" x14ac:dyDescent="0.15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23" x14ac:dyDescent="0.15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23" x14ac:dyDescent="0.15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23" x14ac:dyDescent="0.15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23" x14ac:dyDescent="0.15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23" x14ac:dyDescent="0.15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23" x14ac:dyDescent="0.15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23" x14ac:dyDescent="0.15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23" x14ac:dyDescent="0.15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23" x14ac:dyDescent="0.15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23" x14ac:dyDescent="0.15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23" x14ac:dyDescent="0.15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23" x14ac:dyDescent="0.15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23" x14ac:dyDescent="0.15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23" x14ac:dyDescent="0.15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23" x14ac:dyDescent="0.15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23" x14ac:dyDescent="0.15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23" x14ac:dyDescent="0.15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23" x14ac:dyDescent="0.15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23" x14ac:dyDescent="0.15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23" x14ac:dyDescent="0.15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23" x14ac:dyDescent="0.15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23" x14ac:dyDescent="0.15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23" x14ac:dyDescent="0.15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23" x14ac:dyDescent="0.15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23" x14ac:dyDescent="0.15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23" x14ac:dyDescent="0.15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23" x14ac:dyDescent="0.15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23" x14ac:dyDescent="0.15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23" x14ac:dyDescent="0.15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23" x14ac:dyDescent="0.15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23" x14ac:dyDescent="0.15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23" x14ac:dyDescent="0.15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23" x14ac:dyDescent="0.15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23" x14ac:dyDescent="0.15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23" x14ac:dyDescent="0.15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23" x14ac:dyDescent="0.15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23" x14ac:dyDescent="0.15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23" x14ac:dyDescent="0.15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23" x14ac:dyDescent="0.15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23" x14ac:dyDescent="0.15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23" x14ac:dyDescent="0.15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23" x14ac:dyDescent="0.15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23" x14ac:dyDescent="0.15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23" x14ac:dyDescent="0.15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23" x14ac:dyDescent="0.15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23" x14ac:dyDescent="0.15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23" x14ac:dyDescent="0.15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23" x14ac:dyDescent="0.15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23" x14ac:dyDescent="0.15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ht="23" x14ac:dyDescent="0.15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ht="23" x14ac:dyDescent="0.15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ht="23" x14ac:dyDescent="0.15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ht="23" x14ac:dyDescent="0.15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ht="23" x14ac:dyDescent="0.15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ht="23" x14ac:dyDescent="0.15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ht="23" x14ac:dyDescent="0.15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ht="23" x14ac:dyDescent="0.15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ht="23" x14ac:dyDescent="0.15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ht="23" x14ac:dyDescent="0.15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ht="23" x14ac:dyDescent="0.15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ht="23" x14ac:dyDescent="0.15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ht="23" x14ac:dyDescent="0.15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ht="23" x14ac:dyDescent="0.15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ht="23" x14ac:dyDescent="0.15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ht="23" x14ac:dyDescent="0.15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ht="23" x14ac:dyDescent="0.15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ht="23" x14ac:dyDescent="0.15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ht="23" x14ac:dyDescent="0.15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ht="23" x14ac:dyDescent="0.15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ht="23" x14ac:dyDescent="0.15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ht="23" x14ac:dyDescent="0.15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ht="23" x14ac:dyDescent="0.15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ht="23" x14ac:dyDescent="0.15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ht="23" x14ac:dyDescent="0.15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ht="23" x14ac:dyDescent="0.15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ht="23" x14ac:dyDescent="0.15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ht="23" x14ac:dyDescent="0.15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ht="23" x14ac:dyDescent="0.15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ht="23" x14ac:dyDescent="0.15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ht="23" x14ac:dyDescent="0.15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ht="23" x14ac:dyDescent="0.15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ht="23" x14ac:dyDescent="0.15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ht="23" x14ac:dyDescent="0.15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ht="23" x14ac:dyDescent="0.15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ht="23" x14ac:dyDescent="0.15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ht="23" x14ac:dyDescent="0.15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ht="23" x14ac:dyDescent="0.15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ht="23" x14ac:dyDescent="0.15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ht="23" x14ac:dyDescent="0.15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ht="23" x14ac:dyDescent="0.15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ht="23" x14ac:dyDescent="0.15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ht="23" x14ac:dyDescent="0.15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ht="23" x14ac:dyDescent="0.15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ht="23" x14ac:dyDescent="0.15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ht="23" x14ac:dyDescent="0.15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ht="23" x14ac:dyDescent="0.15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ht="23" x14ac:dyDescent="0.15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ht="23" x14ac:dyDescent="0.15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ht="23" x14ac:dyDescent="0.15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ht="23" x14ac:dyDescent="0.15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ht="23" x14ac:dyDescent="0.15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ht="23" x14ac:dyDescent="0.15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ht="23" x14ac:dyDescent="0.15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ht="23" x14ac:dyDescent="0.15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ht="23" x14ac:dyDescent="0.15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ht="23" x14ac:dyDescent="0.15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ht="23" x14ac:dyDescent="0.15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ht="23" x14ac:dyDescent="0.15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ht="23" x14ac:dyDescent="0.15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ht="23" x14ac:dyDescent="0.15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ht="23" x14ac:dyDescent="0.15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ht="23" x14ac:dyDescent="0.15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ht="23" x14ac:dyDescent="0.15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ht="23" x14ac:dyDescent="0.15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ht="23" x14ac:dyDescent="0.15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ht="23" x14ac:dyDescent="0.15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ht="23" x14ac:dyDescent="0.15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ht="23" x14ac:dyDescent="0.15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ht="23" x14ac:dyDescent="0.15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ht="23" x14ac:dyDescent="0.15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ht="23" x14ac:dyDescent="0.15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ht="23" x14ac:dyDescent="0.15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ht="23" x14ac:dyDescent="0.15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ht="23" x14ac:dyDescent="0.15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ht="23" x14ac:dyDescent="0.15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ht="23" x14ac:dyDescent="0.15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 ht="23" x14ac:dyDescent="0.15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 ht="23" x14ac:dyDescent="0.15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ht="23" x14ac:dyDescent="0.15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ht="23" x14ac:dyDescent="0.15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 ht="23" x14ac:dyDescent="0.15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 ht="23" x14ac:dyDescent="0.15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 ht="23" x14ac:dyDescent="0.15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ht="23" x14ac:dyDescent="0.15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ht="23" x14ac:dyDescent="0.15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ht="23" x14ac:dyDescent="0.15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ht="23" x14ac:dyDescent="0.15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ht="23" x14ac:dyDescent="0.15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ht="23" x14ac:dyDescent="0.15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 ht="23" x14ac:dyDescent="0.15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 ht="23" x14ac:dyDescent="0.15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ht="23" x14ac:dyDescent="0.15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ht="23" x14ac:dyDescent="0.15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 ht="23" x14ac:dyDescent="0.15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ht="23" x14ac:dyDescent="0.15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 ht="23" x14ac:dyDescent="0.15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 ht="23" x14ac:dyDescent="0.15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ht="23" x14ac:dyDescent="0.15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 ht="23" x14ac:dyDescent="0.15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ht="23" x14ac:dyDescent="0.15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ht="23" x14ac:dyDescent="0.15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ht="23" x14ac:dyDescent="0.15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 ht="23" x14ac:dyDescent="0.15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ht="23" x14ac:dyDescent="0.15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 ht="23" x14ac:dyDescent="0.15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ht="23" x14ac:dyDescent="0.15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 ht="23" x14ac:dyDescent="0.15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 ht="23" x14ac:dyDescent="0.15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ht="23" x14ac:dyDescent="0.15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ht="23" x14ac:dyDescent="0.15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 ht="23" x14ac:dyDescent="0.15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 ht="23" x14ac:dyDescent="0.15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ht="23" x14ac:dyDescent="0.15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ht="23" x14ac:dyDescent="0.15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 ht="23" x14ac:dyDescent="0.15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 ht="23" x14ac:dyDescent="0.15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ht="23" x14ac:dyDescent="0.15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 ht="23" x14ac:dyDescent="0.15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 ht="23" x14ac:dyDescent="0.15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 ht="23" x14ac:dyDescent="0.15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 ht="23" x14ac:dyDescent="0.15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1:30" ht="23" x14ac:dyDescent="0.15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1:30" ht="23" x14ac:dyDescent="0.15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1:30" ht="23" x14ac:dyDescent="0.15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 ht="23" x14ac:dyDescent="0.15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1:30" ht="23" x14ac:dyDescent="0.15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 ht="23" x14ac:dyDescent="0.15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1:30" ht="23" x14ac:dyDescent="0.15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1:30" ht="23" x14ac:dyDescent="0.15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1:30" ht="23" x14ac:dyDescent="0.15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 ht="23" x14ac:dyDescent="0.15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 ht="23" x14ac:dyDescent="0.15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 ht="23" x14ac:dyDescent="0.15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ht="23" x14ac:dyDescent="0.15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ht="23" x14ac:dyDescent="0.15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 ht="23" x14ac:dyDescent="0.15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1:30" ht="23" x14ac:dyDescent="0.15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ht="23" x14ac:dyDescent="0.15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 ht="23" x14ac:dyDescent="0.15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ht="23" x14ac:dyDescent="0.15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 ht="23" x14ac:dyDescent="0.15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ht="23" x14ac:dyDescent="0.15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1:30" ht="23" x14ac:dyDescent="0.15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ht="23" x14ac:dyDescent="0.15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 ht="23" x14ac:dyDescent="0.15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 ht="23" x14ac:dyDescent="0.15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1:30" ht="23" x14ac:dyDescent="0.15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ht="23" x14ac:dyDescent="0.15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 ht="23" x14ac:dyDescent="0.15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 ht="23" x14ac:dyDescent="0.15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 ht="23" x14ac:dyDescent="0.15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ht="23" x14ac:dyDescent="0.15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1:30" ht="23" x14ac:dyDescent="0.15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ht="23" x14ac:dyDescent="0.15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 ht="23" x14ac:dyDescent="0.15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ht="23" x14ac:dyDescent="0.15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1:30" ht="23" x14ac:dyDescent="0.15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ht="23" x14ac:dyDescent="0.15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ht="23" x14ac:dyDescent="0.15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 ht="23" x14ac:dyDescent="0.15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ht="23" x14ac:dyDescent="0.15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ht="23" x14ac:dyDescent="0.15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 ht="23" x14ac:dyDescent="0.15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 ht="23" x14ac:dyDescent="0.15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ht="23" x14ac:dyDescent="0.15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ht="23" x14ac:dyDescent="0.15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 ht="23" x14ac:dyDescent="0.15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ht="23" x14ac:dyDescent="0.15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 ht="23" x14ac:dyDescent="0.15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 ht="23" x14ac:dyDescent="0.15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 ht="23" x14ac:dyDescent="0.15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 ht="23" x14ac:dyDescent="0.15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ht="23" x14ac:dyDescent="0.15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spans="1:30" ht="23" x14ac:dyDescent="0.15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spans="1:30" ht="23" x14ac:dyDescent="0.15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spans="1:30" ht="23" x14ac:dyDescent="0.15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spans="1:30" ht="23" x14ac:dyDescent="0.15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spans="1:30" ht="23" x14ac:dyDescent="0.15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spans="1:30" ht="23" x14ac:dyDescent="0.15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spans="1:30" ht="23" x14ac:dyDescent="0.15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spans="1:30" ht="23" x14ac:dyDescent="0.15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spans="1:30" ht="23" x14ac:dyDescent="0.15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spans="1:30" ht="23" x14ac:dyDescent="0.15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spans="1:30" ht="23" x14ac:dyDescent="0.15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spans="1:30" ht="23" x14ac:dyDescent="0.15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spans="1:30" ht="23" x14ac:dyDescent="0.15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spans="1:30" ht="23" x14ac:dyDescent="0.15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spans="1:30" ht="23" x14ac:dyDescent="0.15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spans="1:30" ht="23" x14ac:dyDescent="0.15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spans="1:30" ht="23" x14ac:dyDescent="0.15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spans="1:30" ht="23" x14ac:dyDescent="0.15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spans="1:30" ht="23" x14ac:dyDescent="0.15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spans="1:30" ht="23" x14ac:dyDescent="0.15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spans="1:30" ht="23" x14ac:dyDescent="0.15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spans="1:30" ht="23" x14ac:dyDescent="0.15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spans="1:30" ht="23" x14ac:dyDescent="0.15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spans="1:30" ht="23" x14ac:dyDescent="0.15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spans="1:30" ht="23" x14ac:dyDescent="0.15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spans="1:30" ht="23" x14ac:dyDescent="0.15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spans="1:30" ht="23" x14ac:dyDescent="0.15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spans="1:30" ht="23" x14ac:dyDescent="0.15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spans="1:30" ht="23" x14ac:dyDescent="0.15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spans="1:30" ht="23" x14ac:dyDescent="0.15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spans="1:30" ht="23" x14ac:dyDescent="0.15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spans="1:30" ht="23" x14ac:dyDescent="0.15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spans="1:30" ht="23" x14ac:dyDescent="0.15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spans="1:30" ht="23" x14ac:dyDescent="0.15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spans="1:30" ht="23" x14ac:dyDescent="0.15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spans="1:30" ht="23" x14ac:dyDescent="0.15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spans="1:30" ht="23" x14ac:dyDescent="0.15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spans="1:30" ht="23" x14ac:dyDescent="0.15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spans="1:30" ht="23" x14ac:dyDescent="0.15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spans="1:30" ht="23" x14ac:dyDescent="0.15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spans="1:30" ht="23" x14ac:dyDescent="0.15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spans="1:30" ht="23" x14ac:dyDescent="0.15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spans="1:30" ht="23" x14ac:dyDescent="0.15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spans="1:30" ht="23" x14ac:dyDescent="0.15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spans="1:30" ht="23" x14ac:dyDescent="0.15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spans="1:30" ht="23" x14ac:dyDescent="0.15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spans="1:30" ht="23" x14ac:dyDescent="0.15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spans="1:30" ht="23" x14ac:dyDescent="0.15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spans="1:30" ht="23" x14ac:dyDescent="0.15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spans="1:30" ht="23" x14ac:dyDescent="0.15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spans="1:30" ht="23" x14ac:dyDescent="0.15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spans="1:30" ht="23" x14ac:dyDescent="0.15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spans="1:30" ht="23" x14ac:dyDescent="0.15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spans="1:30" ht="23" x14ac:dyDescent="0.15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spans="1:30" ht="23" x14ac:dyDescent="0.15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spans="1:30" ht="23" x14ac:dyDescent="0.15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spans="1:30" ht="23" x14ac:dyDescent="0.15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spans="1:30" ht="23" x14ac:dyDescent="0.15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spans="1:30" ht="23" x14ac:dyDescent="0.15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spans="1:30" ht="23" x14ac:dyDescent="0.15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spans="1:30" ht="23" x14ac:dyDescent="0.15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spans="1:30" ht="23" x14ac:dyDescent="0.15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spans="1:30" ht="23" x14ac:dyDescent="0.15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spans="1:30" ht="23" x14ac:dyDescent="0.15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spans="1:30" ht="23" x14ac:dyDescent="0.15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spans="1:30" ht="23" x14ac:dyDescent="0.15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spans="1:30" ht="23" x14ac:dyDescent="0.15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spans="1:30" ht="23" x14ac:dyDescent="0.15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spans="1:30" ht="23" x14ac:dyDescent="0.15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spans="1:30" ht="23" x14ac:dyDescent="0.15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spans="1:30" ht="23" x14ac:dyDescent="0.15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spans="1:30" ht="23" x14ac:dyDescent="0.15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spans="1:30" ht="23" x14ac:dyDescent="0.15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spans="1:30" ht="23" x14ac:dyDescent="0.15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spans="1:30" ht="23" x14ac:dyDescent="0.15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spans="1:30" ht="23" x14ac:dyDescent="0.15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spans="1:30" ht="23" x14ac:dyDescent="0.15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spans="1:30" ht="23" x14ac:dyDescent="0.15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spans="1:30" ht="23" x14ac:dyDescent="0.15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spans="1:30" ht="23" x14ac:dyDescent="0.15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spans="1:30" ht="23" x14ac:dyDescent="0.15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spans="1:30" ht="23" x14ac:dyDescent="0.15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spans="1:30" ht="23" x14ac:dyDescent="0.15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spans="1:30" ht="23" x14ac:dyDescent="0.15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spans="1:30" ht="23" x14ac:dyDescent="0.15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spans="1:30" ht="23" x14ac:dyDescent="0.15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spans="1:30" ht="23" x14ac:dyDescent="0.15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spans="1:30" ht="23" x14ac:dyDescent="0.15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spans="1:30" ht="23" x14ac:dyDescent="0.15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spans="1:30" ht="23" x14ac:dyDescent="0.15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spans="1:30" ht="23" x14ac:dyDescent="0.15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spans="1:30" ht="23" x14ac:dyDescent="0.15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spans="1:30" ht="23" x14ac:dyDescent="0.15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spans="1:30" ht="23" x14ac:dyDescent="0.15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spans="1:30" ht="23" x14ac:dyDescent="0.15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spans="1:30" ht="23" x14ac:dyDescent="0.15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spans="1:30" ht="23" x14ac:dyDescent="0.15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spans="1:30" ht="23" x14ac:dyDescent="0.15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spans="1:30" ht="23" x14ac:dyDescent="0.15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spans="1:30" ht="23" x14ac:dyDescent="0.15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spans="1:30" ht="23" x14ac:dyDescent="0.15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spans="1:30" ht="23" x14ac:dyDescent="0.15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spans="1:30" ht="23" x14ac:dyDescent="0.15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spans="1:30" ht="23" x14ac:dyDescent="0.15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spans="1:30" ht="23" x14ac:dyDescent="0.15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spans="1:30" ht="23" x14ac:dyDescent="0.15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spans="1:30" ht="23" x14ac:dyDescent="0.15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spans="1:30" ht="23" x14ac:dyDescent="0.15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spans="1:30" ht="23" x14ac:dyDescent="0.15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spans="1:30" ht="23" x14ac:dyDescent="0.15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spans="1:30" ht="23" x14ac:dyDescent="0.15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spans="1:30" ht="23" x14ac:dyDescent="0.15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spans="1:30" ht="23" x14ac:dyDescent="0.15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spans="1:30" ht="23" x14ac:dyDescent="0.15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spans="1:30" ht="23" x14ac:dyDescent="0.15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spans="1:30" ht="23" x14ac:dyDescent="0.15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spans="1:30" ht="23" x14ac:dyDescent="0.15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spans="1:30" ht="23" x14ac:dyDescent="0.15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spans="1:30" ht="23" x14ac:dyDescent="0.15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spans="1:30" ht="23" x14ac:dyDescent="0.15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spans="1:30" ht="23" x14ac:dyDescent="0.15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spans="1:30" ht="23" x14ac:dyDescent="0.15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spans="1:30" ht="23" x14ac:dyDescent="0.15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spans="1:30" ht="23" x14ac:dyDescent="0.15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spans="1:30" ht="23" x14ac:dyDescent="0.15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spans="1:30" ht="23" x14ac:dyDescent="0.15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spans="1:30" ht="23" x14ac:dyDescent="0.15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spans="1:30" ht="23" x14ac:dyDescent="0.15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spans="1:30" ht="23" x14ac:dyDescent="0.15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spans="1:30" ht="23" x14ac:dyDescent="0.15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spans="1:30" ht="23" x14ac:dyDescent="0.15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spans="1:30" ht="23" x14ac:dyDescent="0.15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spans="1:30" ht="23" x14ac:dyDescent="0.15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spans="1:30" ht="23" x14ac:dyDescent="0.15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spans="1:30" ht="23" x14ac:dyDescent="0.15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spans="1:30" ht="23" x14ac:dyDescent="0.15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spans="1:30" ht="23" x14ac:dyDescent="0.15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spans="1:30" ht="23" x14ac:dyDescent="0.15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spans="1:30" ht="23" x14ac:dyDescent="0.15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spans="1:30" ht="23" x14ac:dyDescent="0.15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spans="1:30" ht="23" x14ac:dyDescent="0.15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spans="1:30" ht="23" x14ac:dyDescent="0.15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spans="1:30" ht="23" x14ac:dyDescent="0.15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spans="1:30" ht="23" x14ac:dyDescent="0.15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spans="1:30" ht="23" x14ac:dyDescent="0.15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spans="1:30" ht="23" x14ac:dyDescent="0.15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spans="1:30" ht="23" x14ac:dyDescent="0.15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spans="1:30" ht="23" x14ac:dyDescent="0.15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spans="1:30" ht="23" x14ac:dyDescent="0.15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spans="1:30" ht="23" x14ac:dyDescent="0.15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spans="1:30" ht="23" x14ac:dyDescent="0.15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spans="1:30" ht="23" x14ac:dyDescent="0.15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spans="1:30" ht="23" x14ac:dyDescent="0.15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spans="1:30" ht="23" x14ac:dyDescent="0.15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spans="1:30" ht="23" x14ac:dyDescent="0.15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spans="1:30" ht="23" x14ac:dyDescent="0.15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spans="1:30" ht="23" x14ac:dyDescent="0.15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spans="1:30" ht="23" x14ac:dyDescent="0.15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spans="1:30" ht="23" x14ac:dyDescent="0.15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spans="1:30" ht="23" x14ac:dyDescent="0.15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spans="1:30" ht="23" x14ac:dyDescent="0.15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spans="1:30" ht="23" x14ac:dyDescent="0.15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spans="1:30" ht="23" x14ac:dyDescent="0.15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spans="1:30" ht="23" x14ac:dyDescent="0.15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spans="1:30" ht="23" x14ac:dyDescent="0.15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spans="1:30" ht="23" x14ac:dyDescent="0.15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spans="1:30" ht="23" x14ac:dyDescent="0.15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spans="1:30" ht="23" x14ac:dyDescent="0.15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spans="1:30" ht="23" x14ac:dyDescent="0.15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spans="1:30" ht="23" x14ac:dyDescent="0.15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spans="1:30" ht="23" x14ac:dyDescent="0.15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spans="1:30" ht="23" x14ac:dyDescent="0.15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spans="1:30" ht="23" x14ac:dyDescent="0.15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spans="1:30" ht="23" x14ac:dyDescent="0.15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spans="1:30" ht="23" x14ac:dyDescent="0.15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spans="1:30" ht="23" x14ac:dyDescent="0.15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spans="1:30" ht="23" x14ac:dyDescent="0.15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spans="1:30" ht="23" x14ac:dyDescent="0.15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spans="1:30" ht="23" x14ac:dyDescent="0.15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spans="1:30" ht="23" x14ac:dyDescent="0.15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spans="1:30" ht="23" x14ac:dyDescent="0.15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spans="1:30" ht="23" x14ac:dyDescent="0.15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spans="1:30" ht="23" x14ac:dyDescent="0.15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spans="1:30" ht="23" x14ac:dyDescent="0.15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spans="1:30" ht="23" x14ac:dyDescent="0.15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spans="1:30" ht="23" x14ac:dyDescent="0.15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spans="1:30" ht="23" x14ac:dyDescent="0.15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spans="1:30" ht="23" x14ac:dyDescent="0.15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spans="1:30" ht="23" x14ac:dyDescent="0.15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spans="1:30" ht="23" x14ac:dyDescent="0.15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spans="1:30" ht="23" x14ac:dyDescent="0.15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spans="1:30" ht="23" x14ac:dyDescent="0.15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spans="1:30" ht="23" x14ac:dyDescent="0.15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spans="1:30" ht="23" x14ac:dyDescent="0.15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spans="1:30" ht="23" x14ac:dyDescent="0.15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spans="1:30" ht="23" x14ac:dyDescent="0.15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spans="1:30" ht="23" x14ac:dyDescent="0.15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spans="1:30" ht="23" x14ac:dyDescent="0.15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spans="1:30" ht="23" x14ac:dyDescent="0.15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spans="1:30" ht="23" x14ac:dyDescent="0.15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spans="1:30" ht="23" x14ac:dyDescent="0.15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spans="1:30" ht="23" x14ac:dyDescent="0.15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spans="1:30" ht="23" x14ac:dyDescent="0.15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spans="1:30" ht="23" x14ac:dyDescent="0.15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spans="1:30" ht="23" x14ac:dyDescent="0.15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spans="1:30" ht="23" x14ac:dyDescent="0.15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spans="1:30" ht="23" x14ac:dyDescent="0.15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spans="1:30" ht="23" x14ac:dyDescent="0.15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spans="1:30" ht="23" x14ac:dyDescent="0.15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spans="1:30" ht="23" x14ac:dyDescent="0.15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spans="1:30" ht="23" x14ac:dyDescent="0.15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spans="1:30" ht="23" x14ac:dyDescent="0.15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spans="1:30" ht="23" x14ac:dyDescent="0.15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spans="1:30" ht="23" x14ac:dyDescent="0.15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spans="1:30" ht="23" x14ac:dyDescent="0.15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spans="1:30" ht="23" x14ac:dyDescent="0.15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spans="1:30" ht="23" x14ac:dyDescent="0.15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spans="1:30" ht="23" x14ac:dyDescent="0.15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spans="1:30" ht="23" x14ac:dyDescent="0.15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spans="1:30" ht="23" x14ac:dyDescent="0.15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spans="1:30" ht="23" x14ac:dyDescent="0.15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spans="1:30" ht="23" x14ac:dyDescent="0.15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spans="1:30" ht="23" x14ac:dyDescent="0.15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spans="1:30" ht="23" x14ac:dyDescent="0.15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spans="1:30" ht="23" x14ac:dyDescent="0.15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spans="1:30" ht="23" x14ac:dyDescent="0.15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spans="1:30" ht="23" x14ac:dyDescent="0.15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spans="1:30" ht="23" x14ac:dyDescent="0.15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spans="1:30" ht="23" x14ac:dyDescent="0.15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spans="1:30" ht="23" x14ac:dyDescent="0.15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spans="1:30" ht="23" x14ac:dyDescent="0.15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spans="1:30" ht="23" x14ac:dyDescent="0.15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spans="1:30" ht="23" x14ac:dyDescent="0.15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spans="1:30" ht="23" x14ac:dyDescent="0.15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spans="1:30" ht="23" x14ac:dyDescent="0.15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spans="1:30" ht="23" x14ac:dyDescent="0.15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spans="1:30" ht="23" x14ac:dyDescent="0.15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spans="1:30" ht="23" x14ac:dyDescent="0.15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spans="1:30" ht="23" x14ac:dyDescent="0.15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spans="1:30" ht="23" x14ac:dyDescent="0.15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spans="1:30" ht="23" x14ac:dyDescent="0.15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spans="1:30" ht="23" x14ac:dyDescent="0.15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spans="1:30" ht="23" x14ac:dyDescent="0.15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spans="1:30" ht="23" x14ac:dyDescent="0.15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spans="1:30" ht="23" x14ac:dyDescent="0.15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spans="1:30" ht="23" x14ac:dyDescent="0.15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spans="1:30" ht="23" x14ac:dyDescent="0.15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spans="1:30" ht="23" x14ac:dyDescent="0.15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spans="1:30" ht="23" x14ac:dyDescent="0.15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spans="1:30" ht="23" x14ac:dyDescent="0.15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spans="1:30" ht="23" x14ac:dyDescent="0.15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spans="1:30" ht="23" x14ac:dyDescent="0.15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spans="1:30" ht="23" x14ac:dyDescent="0.15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spans="1:30" ht="23" x14ac:dyDescent="0.15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spans="1:30" ht="23" x14ac:dyDescent="0.15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spans="1:30" ht="23" x14ac:dyDescent="0.15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spans="1:30" ht="23" x14ac:dyDescent="0.15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spans="1:30" ht="23" x14ac:dyDescent="0.15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spans="1:30" ht="23" x14ac:dyDescent="0.15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spans="1:30" ht="23" x14ac:dyDescent="0.15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spans="1:30" ht="23" x14ac:dyDescent="0.15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spans="1:30" ht="23" x14ac:dyDescent="0.15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spans="1:30" ht="23" x14ac:dyDescent="0.15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spans="1:30" ht="23" x14ac:dyDescent="0.15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spans="1:30" ht="23" x14ac:dyDescent="0.15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spans="1:30" ht="23" x14ac:dyDescent="0.15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spans="1:30" ht="23" x14ac:dyDescent="0.15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spans="1:30" ht="23" x14ac:dyDescent="0.15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spans="1:30" ht="23" x14ac:dyDescent="0.15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spans="1:30" ht="23" x14ac:dyDescent="0.15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spans="1:30" ht="23" x14ac:dyDescent="0.15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spans="1:30" ht="23" x14ac:dyDescent="0.15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spans="1:30" ht="23" x14ac:dyDescent="0.15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spans="1:30" ht="23" x14ac:dyDescent="0.15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spans="1:30" ht="23" x14ac:dyDescent="0.15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spans="1:30" ht="23" x14ac:dyDescent="0.15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spans="1:30" ht="23" x14ac:dyDescent="0.15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spans="1:30" ht="23" x14ac:dyDescent="0.15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spans="1:30" ht="23" x14ac:dyDescent="0.15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spans="1:30" ht="23" x14ac:dyDescent="0.15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spans="1:30" ht="23" x14ac:dyDescent="0.15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spans="1:30" ht="23" x14ac:dyDescent="0.15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spans="1:30" ht="23" x14ac:dyDescent="0.15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spans="1:30" ht="23" x14ac:dyDescent="0.15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spans="1:30" ht="23" x14ac:dyDescent="0.15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spans="1:30" ht="23" x14ac:dyDescent="0.15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spans="1:30" ht="23" x14ac:dyDescent="0.15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spans="1:30" ht="23" x14ac:dyDescent="0.15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spans="1:30" ht="23" x14ac:dyDescent="0.15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spans="1:30" ht="23" x14ac:dyDescent="0.15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spans="1:30" ht="23" x14ac:dyDescent="0.15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spans="1:30" ht="23" x14ac:dyDescent="0.15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spans="1:30" ht="23" x14ac:dyDescent="0.15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spans="1:30" ht="23" x14ac:dyDescent="0.15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spans="1:30" ht="23" x14ac:dyDescent="0.15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spans="1:30" ht="23" x14ac:dyDescent="0.15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spans="1:30" ht="23" x14ac:dyDescent="0.15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spans="1:30" ht="23" x14ac:dyDescent="0.15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spans="1:30" ht="23" x14ac:dyDescent="0.15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spans="1:30" ht="23" x14ac:dyDescent="0.15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spans="1:30" ht="23" x14ac:dyDescent="0.15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spans="1:30" ht="23" x14ac:dyDescent="0.15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spans="1:30" ht="23" x14ac:dyDescent="0.15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spans="1:30" ht="23" x14ac:dyDescent="0.15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spans="1:30" ht="23" x14ac:dyDescent="0.15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spans="1:30" ht="23" x14ac:dyDescent="0.15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spans="1:30" ht="23" x14ac:dyDescent="0.15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spans="1:30" ht="23" x14ac:dyDescent="0.15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spans="1:30" ht="23" x14ac:dyDescent="0.15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spans="1:30" ht="23" x14ac:dyDescent="0.15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spans="1:30" ht="23" x14ac:dyDescent="0.15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spans="1:30" ht="23" x14ac:dyDescent="0.15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spans="1:30" ht="23" x14ac:dyDescent="0.15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spans="1:30" ht="23" x14ac:dyDescent="0.15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spans="1:30" ht="23" x14ac:dyDescent="0.15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spans="1:30" ht="23" x14ac:dyDescent="0.15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spans="1:30" ht="23" x14ac:dyDescent="0.15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spans="1:30" ht="23" x14ac:dyDescent="0.15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spans="1:30" ht="23" x14ac:dyDescent="0.15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spans="1:30" ht="23" x14ac:dyDescent="0.15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spans="1:30" ht="23" x14ac:dyDescent="0.15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spans="1:30" ht="23" x14ac:dyDescent="0.15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spans="1:30" ht="23" x14ac:dyDescent="0.15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spans="1:30" ht="23" x14ac:dyDescent="0.15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spans="1:30" ht="23" x14ac:dyDescent="0.15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spans="1:30" ht="23" x14ac:dyDescent="0.15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spans="1:30" ht="23" x14ac:dyDescent="0.15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spans="1:30" ht="23" x14ac:dyDescent="0.15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spans="1:30" ht="23" x14ac:dyDescent="0.15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spans="1:30" ht="23" x14ac:dyDescent="0.15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spans="1:30" ht="23" x14ac:dyDescent="0.15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spans="1:30" ht="23" x14ac:dyDescent="0.15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spans="1:30" ht="23" x14ac:dyDescent="0.15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spans="1:30" ht="23" x14ac:dyDescent="0.15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spans="1:30" ht="23" x14ac:dyDescent="0.15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spans="1:30" ht="23" x14ac:dyDescent="0.15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spans="1:30" ht="23" x14ac:dyDescent="0.15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spans="1:30" ht="23" x14ac:dyDescent="0.15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spans="1:30" ht="23" x14ac:dyDescent="0.15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spans="1:30" ht="23" x14ac:dyDescent="0.15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spans="1:30" ht="23" x14ac:dyDescent="0.15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spans="1:30" ht="23" x14ac:dyDescent="0.15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spans="1:30" ht="23" x14ac:dyDescent="0.15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spans="1:30" ht="23" x14ac:dyDescent="0.15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spans="1:30" ht="23" x14ac:dyDescent="0.15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spans="1:30" ht="23" x14ac:dyDescent="0.15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spans="1:30" ht="23" x14ac:dyDescent="0.15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spans="1:30" ht="23" x14ac:dyDescent="0.15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spans="1:30" ht="23" x14ac:dyDescent="0.15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spans="1:30" ht="23" x14ac:dyDescent="0.15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spans="1:30" ht="23" x14ac:dyDescent="0.15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spans="1:30" ht="23" x14ac:dyDescent="0.15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spans="1:30" ht="23" x14ac:dyDescent="0.15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spans="1:30" ht="23" x14ac:dyDescent="0.15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spans="1:30" ht="23" x14ac:dyDescent="0.15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spans="1:30" ht="23" x14ac:dyDescent="0.15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spans="1:30" ht="23" x14ac:dyDescent="0.15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spans="1:30" ht="23" x14ac:dyDescent="0.15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spans="1:30" ht="23" x14ac:dyDescent="0.15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spans="1:30" ht="23" x14ac:dyDescent="0.15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spans="1:30" ht="23" x14ac:dyDescent="0.15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spans="1:30" ht="23" x14ac:dyDescent="0.15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spans="1:30" ht="23" x14ac:dyDescent="0.15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spans="1:30" ht="23" x14ac:dyDescent="0.15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spans="1:30" ht="23" x14ac:dyDescent="0.15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spans="1:30" ht="23" x14ac:dyDescent="0.15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spans="1:30" ht="23" x14ac:dyDescent="0.15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spans="1:30" ht="23" x14ac:dyDescent="0.15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spans="1:30" ht="23" x14ac:dyDescent="0.15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spans="1:30" ht="23" x14ac:dyDescent="0.15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spans="1:30" ht="23" x14ac:dyDescent="0.15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spans="1:30" ht="23" x14ac:dyDescent="0.15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spans="1:30" ht="23" x14ac:dyDescent="0.15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spans="1:30" ht="23" x14ac:dyDescent="0.15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spans="1:30" ht="23" x14ac:dyDescent="0.15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spans="1:30" ht="23" x14ac:dyDescent="0.15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spans="1:30" ht="23" x14ac:dyDescent="0.15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spans="1:30" ht="23" x14ac:dyDescent="0.15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spans="1:30" ht="23" x14ac:dyDescent="0.15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spans="1:30" ht="23" x14ac:dyDescent="0.15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spans="1:30" ht="23" x14ac:dyDescent="0.15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spans="1:30" ht="23" x14ac:dyDescent="0.15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spans="1:30" ht="23" x14ac:dyDescent="0.15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spans="1:30" ht="23" x14ac:dyDescent="0.15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spans="1:30" ht="23" x14ac:dyDescent="0.15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spans="1:30" ht="23" x14ac:dyDescent="0.15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spans="1:30" ht="23" x14ac:dyDescent="0.15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spans="1:30" ht="23" x14ac:dyDescent="0.15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spans="1:30" ht="23" x14ac:dyDescent="0.15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spans="1:30" ht="23" x14ac:dyDescent="0.15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spans="1:30" ht="23" x14ac:dyDescent="0.15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spans="1:30" ht="23" x14ac:dyDescent="0.15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spans="1:30" ht="23" x14ac:dyDescent="0.15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spans="1:30" ht="23" x14ac:dyDescent="0.15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spans="1:30" ht="23" x14ac:dyDescent="0.15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spans="1:30" ht="23" x14ac:dyDescent="0.15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spans="1:30" ht="23" x14ac:dyDescent="0.15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spans="1:30" ht="23" x14ac:dyDescent="0.15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spans="1:30" ht="23" x14ac:dyDescent="0.15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spans="1:30" ht="23" x14ac:dyDescent="0.15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spans="1:30" ht="23" x14ac:dyDescent="0.15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spans="1:30" ht="23" x14ac:dyDescent="0.15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spans="1:30" ht="23" x14ac:dyDescent="0.15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spans="1:30" ht="23" x14ac:dyDescent="0.15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spans="1:30" ht="23" x14ac:dyDescent="0.15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spans="1:30" ht="23" x14ac:dyDescent="0.15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spans="1:30" ht="23" x14ac:dyDescent="0.15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spans="1:30" ht="23" x14ac:dyDescent="0.15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spans="1:30" ht="23" x14ac:dyDescent="0.15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spans="1:30" ht="23" x14ac:dyDescent="0.15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spans="1:30" ht="23" x14ac:dyDescent="0.15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spans="1:30" ht="23" x14ac:dyDescent="0.15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spans="1:30" ht="23" x14ac:dyDescent="0.15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spans="1:30" ht="23" x14ac:dyDescent="0.15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spans="1:30" ht="23" x14ac:dyDescent="0.15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spans="1:30" ht="23" x14ac:dyDescent="0.15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spans="1:30" ht="23" x14ac:dyDescent="0.15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spans="1:30" ht="23" x14ac:dyDescent="0.15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spans="1:30" ht="23" x14ac:dyDescent="0.15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spans="1:30" ht="23" x14ac:dyDescent="0.15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spans="1:30" ht="23" x14ac:dyDescent="0.15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spans="1:30" ht="23" x14ac:dyDescent="0.15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spans="1:30" ht="23" x14ac:dyDescent="0.15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spans="1:30" ht="23" x14ac:dyDescent="0.15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spans="1:30" ht="23" x14ac:dyDescent="0.15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spans="1:30" ht="23" x14ac:dyDescent="0.15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spans="1:30" ht="23" x14ac:dyDescent="0.15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spans="1:30" ht="23" x14ac:dyDescent="0.15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spans="1:30" ht="23" x14ac:dyDescent="0.15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spans="1:30" ht="23" x14ac:dyDescent="0.15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spans="1:30" ht="23" x14ac:dyDescent="0.15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spans="1:30" ht="23" x14ac:dyDescent="0.15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spans="1:30" ht="23" x14ac:dyDescent="0.15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spans="1:30" ht="23" x14ac:dyDescent="0.15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spans="1:30" ht="23" x14ac:dyDescent="0.15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spans="1:30" ht="23" x14ac:dyDescent="0.15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spans="1:30" ht="23" x14ac:dyDescent="0.15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spans="1:30" ht="23" x14ac:dyDescent="0.15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spans="1:30" ht="23" x14ac:dyDescent="0.15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spans="1:30" ht="23" x14ac:dyDescent="0.15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spans="1:30" ht="23" x14ac:dyDescent="0.15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spans="1:30" ht="23" x14ac:dyDescent="0.15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spans="1:30" ht="23" x14ac:dyDescent="0.15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spans="1:30" ht="23" x14ac:dyDescent="0.15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spans="1:30" ht="23" x14ac:dyDescent="0.15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spans="1:30" ht="23" x14ac:dyDescent="0.15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spans="1:30" ht="23" x14ac:dyDescent="0.15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spans="1:30" ht="23" x14ac:dyDescent="0.15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spans="1:30" ht="23" x14ac:dyDescent="0.15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spans="1:30" ht="23" x14ac:dyDescent="0.15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spans="1:30" ht="23" x14ac:dyDescent="0.15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spans="1:30" ht="23" x14ac:dyDescent="0.15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spans="1:30" ht="23" x14ac:dyDescent="0.15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spans="1:30" ht="23" x14ac:dyDescent="0.15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spans="1:30" ht="23" x14ac:dyDescent="0.15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spans="1:30" ht="23" x14ac:dyDescent="0.15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spans="1:30" ht="23" x14ac:dyDescent="0.15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spans="1:30" ht="23" x14ac:dyDescent="0.15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spans="1:30" ht="23" x14ac:dyDescent="0.15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spans="1:30" ht="23" x14ac:dyDescent="0.15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spans="1:30" ht="23" x14ac:dyDescent="0.15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spans="1:30" ht="23" x14ac:dyDescent="0.15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spans="1:30" ht="23" x14ac:dyDescent="0.15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spans="1:30" ht="23" x14ac:dyDescent="0.15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spans="1:30" ht="23" x14ac:dyDescent="0.15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spans="1:30" ht="23" x14ac:dyDescent="0.15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spans="1:30" ht="23" x14ac:dyDescent="0.15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spans="1:30" ht="23" x14ac:dyDescent="0.15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spans="1:30" ht="23" x14ac:dyDescent="0.15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spans="1:30" ht="23" x14ac:dyDescent="0.15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spans="1:30" ht="23" x14ac:dyDescent="0.15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spans="1:30" ht="23" x14ac:dyDescent="0.15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spans="1:30" ht="23" x14ac:dyDescent="0.15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spans="1:30" ht="23" x14ac:dyDescent="0.15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spans="1:30" ht="23" x14ac:dyDescent="0.15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spans="1:30" ht="23" x14ac:dyDescent="0.15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spans="1:30" ht="23" x14ac:dyDescent="0.15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spans="1:30" ht="23" x14ac:dyDescent="0.15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spans="1:30" ht="23" x14ac:dyDescent="0.15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spans="1:30" ht="23" x14ac:dyDescent="0.15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spans="1:30" ht="23" x14ac:dyDescent="0.15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spans="1:30" ht="23" x14ac:dyDescent="0.15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spans="1:30" ht="23" x14ac:dyDescent="0.15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spans="1:30" ht="23" x14ac:dyDescent="0.15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spans="1:30" ht="23" x14ac:dyDescent="0.15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spans="1:30" ht="23" x14ac:dyDescent="0.15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spans="1:30" ht="23" x14ac:dyDescent="0.15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spans="1:30" ht="23" x14ac:dyDescent="0.15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spans="1:30" ht="23" x14ac:dyDescent="0.15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spans="1:30" ht="23" x14ac:dyDescent="0.15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spans="1:30" ht="23" x14ac:dyDescent="0.15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spans="1:30" ht="23" x14ac:dyDescent="0.15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spans="1:30" ht="23" x14ac:dyDescent="0.15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spans="1:30" ht="23" x14ac:dyDescent="0.15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spans="1:30" ht="23" x14ac:dyDescent="0.15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spans="1:30" ht="23" x14ac:dyDescent="0.15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spans="1:30" ht="23" x14ac:dyDescent="0.15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spans="1:30" ht="23" x14ac:dyDescent="0.15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spans="1:30" ht="23" x14ac:dyDescent="0.15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spans="1:30" ht="23" x14ac:dyDescent="0.15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 spans="1:30" ht="23" x14ac:dyDescent="0.15">
      <c r="A1001" s="1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 spans="1:30" ht="23" x14ac:dyDescent="0.15">
      <c r="A1002" s="1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 spans="1:30" ht="23" x14ac:dyDescent="0.15">
      <c r="A1003" s="1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 spans="1:30" ht="23" x14ac:dyDescent="0.15">
      <c r="A1004" s="1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 spans="1:30" ht="23" x14ac:dyDescent="0.15">
      <c r="A1005" s="1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 spans="1:30" ht="23" x14ac:dyDescent="0.15">
      <c r="A1006" s="1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 spans="1:30" ht="23" x14ac:dyDescent="0.15">
      <c r="A1007" s="1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 spans="1:30" ht="23" x14ac:dyDescent="0.15">
      <c r="A1008" s="1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 spans="1:30" ht="23" x14ac:dyDescent="0.15">
      <c r="A1009" s="1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 spans="1:30" ht="23" x14ac:dyDescent="0.15">
      <c r="A1010" s="1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 spans="1:30" ht="23" x14ac:dyDescent="0.15">
      <c r="A1011" s="1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 spans="1:30" ht="23" x14ac:dyDescent="0.15">
      <c r="A1012" s="1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 spans="1:30" ht="23" x14ac:dyDescent="0.15">
      <c r="A1013" s="1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  <row r="1014" spans="1:30" ht="23" x14ac:dyDescent="0.15">
      <c r="A1014" s="1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</row>
    <row r="1015" spans="1:30" ht="23" x14ac:dyDescent="0.15">
      <c r="A1015" s="1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</row>
    <row r="1016" spans="1:30" ht="23" x14ac:dyDescent="0.15">
      <c r="A1016" s="1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</row>
  </sheetData>
  <mergeCells count="24">
    <mergeCell ref="B35:B47"/>
    <mergeCell ref="C3:J3"/>
    <mergeCell ref="C5:E5"/>
    <mergeCell ref="C17:J17"/>
    <mergeCell ref="C18:E18"/>
    <mergeCell ref="G18:J18"/>
    <mergeCell ref="C20:J20"/>
    <mergeCell ref="G21:J21"/>
    <mergeCell ref="C33:C34"/>
    <mergeCell ref="D33:G33"/>
    <mergeCell ref="H33:J33"/>
    <mergeCell ref="C21:E21"/>
    <mergeCell ref="C22:E22"/>
    <mergeCell ref="C23:E23"/>
    <mergeCell ref="C24:E24"/>
    <mergeCell ref="C25:E25"/>
    <mergeCell ref="K33:L33"/>
    <mergeCell ref="G22:J22"/>
    <mergeCell ref="G25:J25"/>
    <mergeCell ref="G26:J26"/>
    <mergeCell ref="C28:J28"/>
    <mergeCell ref="C29:E29"/>
    <mergeCell ref="C30:E30"/>
    <mergeCell ref="G31:J31"/>
  </mergeCells>
  <conditionalFormatting sqref="D35:G47">
    <cfRule type="colorScale" priority="1">
      <colorScale>
        <cfvo type="min"/>
        <cfvo type="max"/>
        <color rgb="FFD9EAD3"/>
        <color rgb="FFF4CCC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16</vt:i4>
      </vt:variant>
    </vt:vector>
  </HeadingPairs>
  <TitlesOfParts>
    <vt:vector size="19" baseType="lpstr">
      <vt:lpstr>Transaction Hedging (Receivable</vt:lpstr>
      <vt:lpstr>Sheet1</vt:lpstr>
      <vt:lpstr>Transaction Hedging (Payables)</vt:lpstr>
      <vt:lpstr>call_price</vt:lpstr>
      <vt:lpstr>call_strike</vt:lpstr>
      <vt:lpstr>contract_notional_value_payable</vt:lpstr>
      <vt:lpstr>current_spot_price_payable</vt:lpstr>
      <vt:lpstr>for_GBPUSD</vt:lpstr>
      <vt:lpstr>forward_price_payable</vt:lpstr>
      <vt:lpstr>future_spot_price_payable</vt:lpstr>
      <vt:lpstr>fv_put_outlay</vt:lpstr>
      <vt:lpstr>gbpusd_1y_scenario</vt:lpstr>
      <vt:lpstr>hedge_no</vt:lpstr>
      <vt:lpstr>named_range</vt:lpstr>
      <vt:lpstr>put_price</vt:lpstr>
      <vt:lpstr>rate_uk_1y_payable</vt:lpstr>
      <vt:lpstr>rate_us_1y_payable</vt:lpstr>
      <vt:lpstr>recievable</vt:lpstr>
      <vt:lpstr>x_put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Keah Smith</cp:lastModifiedBy>
  <dcterms:created xsi:type="dcterms:W3CDTF">2026-04-15T20:46:17Z</dcterms:created>
  <dcterms:modified xsi:type="dcterms:W3CDTF">2026-04-17T20:40:42Z</dcterms:modified>
</cp:coreProperties>
</file>